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追踪矩阵" sheetId="1" state="visible" r:id="rId3"/>
    <sheet name="CSCI需求→V1.2" sheetId="2" state="visible" r:id="rId4"/>
    <sheet name="说明" sheetId="3" state="visible" r:id="rId5"/>
  </sheets>
  <definedNames>
    <definedName function="false" hidden="true" localSheetId="0" name="_xlnm._FilterDatabase" vbProcedure="false">追踪矩阵!$A$4:$M$32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<sst xmlns="http://schemas.openxmlformats.org/spreadsheetml/2006/main" count="345" uniqueCount="204">
  <si>
    <r>
      <rPr>
        <b val="true"/>
        <sz val="14"/>
        <color rgb="FF000000"/>
        <rFont val="Noto Sans CJK SC"/>
        <family val="2"/>
      </rPr>
      <t xml:space="preserve">需求双向追踪矩阵（技术要求</t>
    </r>
    <r>
      <rPr>
        <b val="true"/>
        <sz val="14"/>
        <color rgb="FF000000"/>
        <rFont val="宋体"/>
        <family val="0"/>
        <charset val="1"/>
      </rPr>
      <t xml:space="preserve">V1.2 ↔ </t>
    </r>
    <r>
      <rPr>
        <b val="true"/>
        <sz val="14"/>
        <color rgb="FF000000"/>
        <rFont val="Noto Sans CJK SC"/>
        <family val="2"/>
      </rPr>
      <t xml:space="preserve">软件需求规格说明</t>
    </r>
    <r>
      <rPr>
        <b val="true"/>
        <sz val="14"/>
        <color rgb="FF000000"/>
        <rFont val="宋体"/>
        <family val="0"/>
        <charset val="1"/>
      </rPr>
      <t xml:space="preserve">V1.1 ↔ </t>
    </r>
    <r>
      <rPr>
        <b val="true"/>
        <sz val="14"/>
        <color rgb="FF000000"/>
        <rFont val="Noto Sans CJK SC"/>
        <family val="2"/>
      </rPr>
      <t xml:space="preserve">设计 ↔ 测试）</t>
    </r>
  </si>
  <si>
    <r>
      <rPr>
        <sz val="10"/>
        <color rgb="FF000000"/>
        <rFont val="Noto Sans CJK SC"/>
        <family val="2"/>
      </rPr>
      <t xml:space="preserve">“设计说明章节”“验收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测试用例”两列待《软件设计说明》《软件验收大纲》《单元测试说明》编写后补充；“待确认事项”列凡有内容的均需人工确认。</t>
    </r>
  </si>
  <si>
    <t xml:space="preserve">序号</t>
  </si>
  <si>
    <r>
      <rPr>
        <b val="true"/>
        <sz val="10"/>
        <color rgb="FF000000"/>
        <rFont val="宋体"/>
        <family val="0"/>
        <charset val="1"/>
      </rPr>
      <t xml:space="preserve">V1.2</t>
    </r>
    <r>
      <rPr>
        <b val="true"/>
        <sz val="10"/>
        <color rgb="FF000000"/>
        <rFont val="Noto Sans CJK SC"/>
        <family val="2"/>
      </rPr>
      <t xml:space="preserve">条款编号</t>
    </r>
  </si>
  <si>
    <r>
      <rPr>
        <b val="true"/>
        <sz val="10"/>
        <color rgb="FF000000"/>
        <rFont val="宋体"/>
        <family val="0"/>
        <charset val="1"/>
      </rPr>
      <t xml:space="preserve">V1.2</t>
    </r>
    <r>
      <rPr>
        <b val="true"/>
        <sz val="10"/>
        <color rgb="FF000000"/>
        <rFont val="Noto Sans CJK SC"/>
        <family val="2"/>
      </rPr>
      <t xml:space="preserve">条款位置</t>
    </r>
  </si>
  <si>
    <r>
      <rPr>
        <b val="true"/>
        <sz val="10"/>
        <color rgb="FF000000"/>
        <rFont val="宋体"/>
        <family val="0"/>
        <charset val="1"/>
      </rPr>
      <t xml:space="preserve">V1.2</t>
    </r>
    <r>
      <rPr>
        <b val="true"/>
        <sz val="10"/>
        <color rgb="FF000000"/>
        <rFont val="Noto Sans CJK SC"/>
        <family val="2"/>
      </rPr>
      <t xml:space="preserve">条款原文</t>
    </r>
  </si>
  <si>
    <r>
      <rPr>
        <b val="true"/>
        <sz val="10"/>
        <color rgb="FF000000"/>
        <rFont val="宋体"/>
        <family val="0"/>
        <charset val="1"/>
      </rPr>
      <t xml:space="preserve">SRS</t>
    </r>
    <r>
      <rPr>
        <b val="true"/>
        <sz val="10"/>
        <color rgb="FF000000"/>
        <rFont val="Noto Sans CJK SC"/>
        <family val="2"/>
      </rPr>
      <t xml:space="preserve">需求项</t>
    </r>
  </si>
  <si>
    <r>
      <rPr>
        <b val="true"/>
        <sz val="10"/>
        <color rgb="FF000000"/>
        <rFont val="宋体"/>
        <family val="0"/>
        <charset val="1"/>
      </rPr>
      <t xml:space="preserve">SRS</t>
    </r>
    <r>
      <rPr>
        <b val="true"/>
        <sz val="10"/>
        <color rgb="FF000000"/>
        <rFont val="Noto Sans CJK SC"/>
        <family val="2"/>
      </rPr>
      <t xml:space="preserve">章节</t>
    </r>
  </si>
  <si>
    <t xml:space="preserve">对应能力需求</t>
  </si>
  <si>
    <t xml:space="preserve">实现方式</t>
  </si>
  <si>
    <t xml:space="preserve">合格性方法</t>
  </si>
  <si>
    <t xml:space="preserve">设计说明章节</t>
  </si>
  <si>
    <r>
      <rPr>
        <b val="true"/>
        <sz val="10"/>
        <color rgb="FF000000"/>
        <rFont val="Noto Sans CJK SC"/>
        <family val="2"/>
      </rPr>
      <t xml:space="preserve">验收</t>
    </r>
    <r>
      <rPr>
        <b val="true"/>
        <sz val="10"/>
        <color rgb="FF000000"/>
        <rFont val="宋体"/>
        <family val="0"/>
        <charset val="1"/>
      </rPr>
      <t xml:space="preserve">/</t>
    </r>
    <r>
      <rPr>
        <b val="true"/>
        <sz val="10"/>
        <color rgb="FF000000"/>
        <rFont val="Noto Sans CJK SC"/>
        <family val="2"/>
      </rPr>
      <t xml:space="preserve">测试用例</t>
    </r>
  </si>
  <si>
    <t xml:space="preserve">覆盖状态</t>
  </si>
  <si>
    <t xml:space="preserve">待确认事项</t>
  </si>
  <si>
    <t xml:space="preserve">TR-CD-F1</t>
  </si>
  <si>
    <r>
      <rPr>
        <sz val="10"/>
        <color rgb="FF000000"/>
        <rFont val="Noto Sans CJK SC"/>
        <family val="2"/>
      </rPr>
      <t xml:space="preserve">功能指标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环境变化检测</t>
    </r>
    <r>
      <rPr>
        <sz val="10"/>
        <color rgb="FF000000"/>
        <rFont val="宋体"/>
        <family val="0"/>
        <charset val="1"/>
      </rPr>
      <t xml:space="preserve">(1)</t>
    </r>
  </si>
  <si>
    <t xml:space="preserve">支持异源影像实时匹配</t>
  </si>
  <si>
    <t xml:space="preserve">C-CD-F01</t>
  </si>
  <si>
    <t xml:space="preserve">3.2.4</t>
  </si>
  <si>
    <t xml:space="preserve">C-FUNC-02</t>
  </si>
  <si>
    <r>
      <rPr>
        <sz val="10"/>
        <color rgb="FF000000"/>
        <rFont val="宋体"/>
        <family val="0"/>
        <charset val="1"/>
      </rPr>
      <t xml:space="preserve">ChangeDetect</t>
    </r>
    <r>
      <rPr>
        <sz val="10"/>
        <color rgb="FF000000"/>
        <rFont val="Noto Sans CJK SC"/>
        <family val="2"/>
      </rPr>
      <t xml:space="preserve">自研</t>
    </r>
  </si>
  <si>
    <t xml:space="preserve">T</t>
  </si>
  <si>
    <r>
      <rPr>
        <sz val="10"/>
        <color rgb="FF000000"/>
        <rFont val="Noto Sans CJK SC"/>
        <family val="2"/>
      </rPr>
      <t xml:space="preserve">已写入</t>
    </r>
    <r>
      <rPr>
        <sz val="10"/>
        <color rgb="FF000000"/>
        <rFont val="宋体"/>
        <family val="0"/>
        <charset val="1"/>
      </rPr>
      <t xml:space="preserve">SRS</t>
    </r>
  </si>
  <si>
    <t xml:space="preserve">TR-CD-F2</t>
  </si>
  <si>
    <r>
      <rPr>
        <sz val="10"/>
        <color rgb="FF000000"/>
        <rFont val="Noto Sans CJK SC"/>
        <family val="2"/>
      </rPr>
      <t xml:space="preserve">功能指标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环境变化检测</t>
    </r>
    <r>
      <rPr>
        <sz val="10"/>
        <color rgb="FF000000"/>
        <rFont val="宋体"/>
        <family val="0"/>
        <charset val="1"/>
      </rPr>
      <t xml:space="preserve">(2)</t>
    </r>
  </si>
  <si>
    <t xml:space="preserve">能实时判断特定区域内的地物是否发生改变</t>
  </si>
  <si>
    <t xml:space="preserve">C-CD-F02</t>
  </si>
  <si>
    <t xml:space="preserve">C-FUNC-03</t>
  </si>
  <si>
    <t xml:space="preserve">TR-CD-F3</t>
  </si>
  <si>
    <r>
      <rPr>
        <sz val="10"/>
        <color rgb="FF000000"/>
        <rFont val="Noto Sans CJK SC"/>
        <family val="2"/>
      </rPr>
      <t xml:space="preserve">功能指标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环境变化检测</t>
    </r>
    <r>
      <rPr>
        <sz val="10"/>
        <color rgb="FF000000"/>
        <rFont val="宋体"/>
        <family val="0"/>
        <charset val="1"/>
      </rPr>
      <t xml:space="preserve">(3)</t>
    </r>
  </si>
  <si>
    <t xml:space="preserve">精确定位发生变化的具体地理位置和范围</t>
  </si>
  <si>
    <t xml:space="preserve">C-CD-F03</t>
  </si>
  <si>
    <t xml:space="preserve">TR-CD-F4</t>
  </si>
  <si>
    <r>
      <rPr>
        <sz val="10"/>
        <color rgb="FF000000"/>
        <rFont val="Noto Sans CJK SC"/>
        <family val="2"/>
      </rPr>
      <t xml:space="preserve">功能指标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环境变化检测</t>
    </r>
    <r>
      <rPr>
        <sz val="10"/>
        <color rgb="FF000000"/>
        <rFont val="宋体"/>
        <family val="0"/>
        <charset val="1"/>
      </rPr>
      <t xml:space="preserve">(4)</t>
    </r>
  </si>
  <si>
    <t xml:space="preserve">能够区分变化的类型</t>
  </si>
  <si>
    <t xml:space="preserve">C-CD-F04</t>
  </si>
  <si>
    <t xml:space="preserve">TR-CD-F5</t>
  </si>
  <si>
    <r>
      <rPr>
        <sz val="10"/>
        <color rgb="FF000000"/>
        <rFont val="Noto Sans CJK SC"/>
        <family val="2"/>
      </rPr>
      <t xml:space="preserve">功能指标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环境变化检测</t>
    </r>
    <r>
      <rPr>
        <sz val="10"/>
        <color rgb="FF000000"/>
        <rFont val="宋体"/>
        <family val="0"/>
        <charset val="1"/>
      </rPr>
      <t xml:space="preserve">(5)</t>
    </r>
  </si>
  <si>
    <t xml:space="preserve">与原有数字底图进行对比，根据变化部分的情况，给出变化部分的目指信息，包含变化区域，区域图像等</t>
  </si>
  <si>
    <t xml:space="preserve">C-CD-F05</t>
  </si>
  <si>
    <r>
      <rPr>
        <sz val="10"/>
        <color rgb="FF000000"/>
        <rFont val="宋体"/>
        <family val="0"/>
        <charset val="1"/>
      </rPr>
      <t xml:space="preserve">V1.2</t>
    </r>
    <r>
      <rPr>
        <sz val="10"/>
        <color rgb="FF000000"/>
        <rFont val="Noto Sans CJK SC"/>
        <family val="2"/>
      </rPr>
      <t xml:space="preserve">原文为“目指信息”，是否应为“目标指示信息”待确认</t>
    </r>
  </si>
  <si>
    <t xml:space="preserve">TR-CD-F6</t>
  </si>
  <si>
    <r>
      <rPr>
        <sz val="10"/>
        <color rgb="FF000000"/>
        <rFont val="Noto Sans CJK SC"/>
        <family val="2"/>
      </rPr>
      <t xml:space="preserve">功能指标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环境变化检测</t>
    </r>
    <r>
      <rPr>
        <sz val="10"/>
        <color rgb="FF000000"/>
        <rFont val="宋体"/>
        <family val="0"/>
        <charset val="1"/>
      </rPr>
      <t xml:space="preserve">(6)</t>
    </r>
  </si>
  <si>
    <t xml:space="preserve">能够提取关键战场环境信息特征，近实时将变化区域叠加至车载地理信息系统</t>
  </si>
  <si>
    <t xml:space="preserve">C-CD-F06</t>
  </si>
  <si>
    <t xml:space="preserve">C-FUNC-06</t>
  </si>
  <si>
    <r>
      <rPr>
        <sz val="10"/>
        <color rgb="FF000000"/>
        <rFont val="宋体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宋体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</si>
  <si>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“车载地理信息系统”是否即态势系统、对接方式（</t>
    </r>
    <r>
      <rPr>
        <sz val="10"/>
        <color rgb="FF000000"/>
        <rFont val="宋体"/>
        <family val="0"/>
        <charset val="1"/>
      </rPr>
      <t xml:space="preserve">WMS</t>
    </r>
    <r>
      <rPr>
        <sz val="10"/>
        <color rgb="FF000000"/>
        <rFont val="Noto Sans CJK SC"/>
        <family val="2"/>
      </rPr>
      <t xml:space="preserve">）待确认</t>
    </r>
  </si>
  <si>
    <t xml:space="preserve">TR-CD-P1</t>
  </si>
  <si>
    <r>
      <rPr>
        <sz val="10"/>
        <color rgb="FF000000"/>
        <rFont val="Noto Sans CJK SC"/>
        <family val="2"/>
      </rPr>
      <t xml:space="preserve">性能指标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环境变化检测</t>
    </r>
    <r>
      <rPr>
        <sz val="10"/>
        <color rgb="FF000000"/>
        <rFont val="宋体"/>
        <family val="0"/>
        <charset val="1"/>
      </rPr>
      <t xml:space="preserve">(1)</t>
    </r>
  </si>
  <si>
    <r>
      <rPr>
        <sz val="10"/>
        <color rgb="FF000000"/>
        <rFont val="Noto Sans CJK SC"/>
        <family val="2"/>
      </rPr>
      <t xml:space="preserve">环境变化检测类型不低于</t>
    </r>
    <r>
      <rPr>
        <sz val="10"/>
        <color rgb="FF000000"/>
        <rFont val="宋体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类（建筑、道路），可后期扩展</t>
    </r>
  </si>
  <si>
    <t xml:space="preserve">C-CD-P01</t>
  </si>
  <si>
    <t xml:space="preserve">TR-CD-P2</t>
  </si>
  <si>
    <r>
      <rPr>
        <sz val="10"/>
        <color rgb="FF000000"/>
        <rFont val="Noto Sans CJK SC"/>
        <family val="2"/>
      </rPr>
      <t xml:space="preserve">性能指标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环境变化检测</t>
    </r>
    <r>
      <rPr>
        <sz val="10"/>
        <color rgb="FF000000"/>
        <rFont val="宋体"/>
        <family val="0"/>
        <charset val="1"/>
      </rPr>
      <t xml:space="preserve">(2)</t>
    </r>
  </si>
  <si>
    <r>
      <rPr>
        <sz val="10"/>
        <color rgb="FF000000"/>
        <rFont val="Noto Sans CJK SC"/>
        <family val="2"/>
      </rPr>
      <t xml:space="preserve">针对特定区域进行地物环境变化检测，检测准确率不低于</t>
    </r>
    <r>
      <rPr>
        <sz val="10"/>
        <color rgb="FF000000"/>
        <rFont val="宋体"/>
        <family val="0"/>
        <charset val="1"/>
      </rPr>
      <t xml:space="preserve">70%</t>
    </r>
  </si>
  <si>
    <t xml:space="preserve">C-CD-P02</t>
  </si>
  <si>
    <r>
      <rPr>
        <sz val="10"/>
        <color rgb="FF000000"/>
        <rFont val="Noto Sans CJK SC"/>
        <family val="2"/>
      </rPr>
      <t xml:space="preserve">准确率统计口径（像素级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目标级、判定阈值）及测试数据集待确认</t>
    </r>
  </si>
  <si>
    <t xml:space="preserve">TR-CD-P3</t>
  </si>
  <si>
    <r>
      <rPr>
        <sz val="10"/>
        <color rgb="FF000000"/>
        <rFont val="Noto Sans CJK SC"/>
        <family val="2"/>
      </rPr>
      <t xml:space="preserve">性能指标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环境变化检测</t>
    </r>
    <r>
      <rPr>
        <sz val="10"/>
        <color rgb="FF000000"/>
        <rFont val="宋体"/>
        <family val="0"/>
        <charset val="1"/>
      </rPr>
      <t xml:space="preserve">(3)</t>
    </r>
  </si>
  <si>
    <r>
      <rPr>
        <sz val="10"/>
        <color rgb="FF000000"/>
        <rFont val="Noto Sans CJK SC"/>
        <family val="2"/>
      </rPr>
      <t xml:space="preserve">针对单帧</t>
    </r>
    <r>
      <rPr>
        <sz val="10"/>
        <color rgb="FF000000"/>
        <rFont val="宋体"/>
        <family val="0"/>
        <charset val="1"/>
      </rPr>
      <t xml:space="preserve">800*800</t>
    </r>
    <r>
      <rPr>
        <sz val="10"/>
        <color rgb="FF000000"/>
        <rFont val="Noto Sans CJK SC"/>
        <family val="2"/>
      </rPr>
      <t xml:space="preserve">像素的图像，环境变化检测处理时间不大于</t>
    </r>
    <r>
      <rPr>
        <sz val="10"/>
        <color rgb="FF000000"/>
        <rFont val="宋体"/>
        <family val="0"/>
        <charset val="1"/>
      </rPr>
      <t xml:space="preserve">3s</t>
    </r>
  </si>
  <si>
    <t xml:space="preserve">C-CD-P03</t>
  </si>
  <si>
    <r>
      <rPr>
        <sz val="10"/>
        <color rgb="FF000000"/>
        <rFont val="宋体"/>
        <family val="0"/>
        <charset val="1"/>
      </rPr>
      <t xml:space="preserve">C-FUNC-02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宋体"/>
        <family val="0"/>
        <charset val="1"/>
      </rPr>
      <t xml:space="preserve">C-FUNC-03</t>
    </r>
  </si>
  <si>
    <t xml:space="preserve">计时范围（是否含配准）及测试硬件平台待确认</t>
  </si>
  <si>
    <t xml:space="preserve">TR-CD-P4</t>
  </si>
  <si>
    <r>
      <rPr>
        <sz val="10"/>
        <color rgb="FF000000"/>
        <rFont val="Noto Sans CJK SC"/>
        <family val="2"/>
      </rPr>
      <t xml:space="preserve">性能指标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环境变化检测</t>
    </r>
    <r>
      <rPr>
        <sz val="10"/>
        <color rgb="FF000000"/>
        <rFont val="宋体"/>
        <family val="0"/>
        <charset val="1"/>
      </rPr>
      <t xml:space="preserve">(4)</t>
    </r>
  </si>
  <si>
    <r>
      <rPr>
        <sz val="10"/>
        <color rgb="FF000000"/>
        <rFont val="Noto Sans CJK SC"/>
        <family val="2"/>
      </rPr>
      <t xml:space="preserve">单帧处理成果分发至态势系统展示时间不大于</t>
    </r>
    <r>
      <rPr>
        <sz val="10"/>
        <color rgb="FF000000"/>
        <rFont val="宋体"/>
        <family val="0"/>
        <charset val="1"/>
      </rPr>
      <t xml:space="preserve">3s</t>
    </r>
  </si>
  <si>
    <t xml:space="preserve">C-CD-P04</t>
  </si>
  <si>
    <t xml:space="preserve">计时起止点待确认</t>
  </si>
  <si>
    <t xml:space="preserve">TR-RC-F1</t>
  </si>
  <si>
    <r>
      <rPr>
        <sz val="10"/>
        <color rgb="FF000000"/>
        <rFont val="Noto Sans CJK SC"/>
        <family val="2"/>
      </rPr>
      <t xml:space="preserve">功能指标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二三维场景重建</t>
    </r>
    <r>
      <rPr>
        <sz val="10"/>
        <color rgb="FF000000"/>
        <rFont val="宋体"/>
        <family val="0"/>
        <charset val="1"/>
      </rPr>
      <t xml:space="preserve">(1)</t>
    </r>
  </si>
  <si>
    <t xml:space="preserve">支持实时传输链路如无人机图传链路，在无公网环境中可实时建模</t>
  </si>
  <si>
    <t xml:space="preserve">C-RC-F01</t>
  </si>
  <si>
    <t xml:space="preserve">3.2.5</t>
  </si>
  <si>
    <t xml:space="preserve">—</t>
  </si>
  <si>
    <t xml:space="preserve">重建软件（外部引入）</t>
  </si>
  <si>
    <r>
      <rPr>
        <sz val="10"/>
        <color rgb="FF000000"/>
        <rFont val="Noto Sans CJK SC"/>
        <family val="2"/>
      </rPr>
      <t xml:space="preserve">已写入</t>
    </r>
    <r>
      <rPr>
        <sz val="10"/>
        <color rgb="FF000000"/>
        <rFont val="宋体"/>
        <family val="0"/>
        <charset val="1"/>
      </rPr>
      <t xml:space="preserve">SRS</t>
    </r>
    <r>
      <rPr>
        <sz val="10"/>
        <color rgb="FF000000"/>
        <rFont val="Noto Sans CJK SC"/>
        <family val="2"/>
      </rPr>
      <t xml:space="preserve">（引入件）</t>
    </r>
  </si>
  <si>
    <t xml:space="preserve">TR-RC-F2</t>
  </si>
  <si>
    <r>
      <rPr>
        <sz val="10"/>
        <color rgb="FF000000"/>
        <rFont val="Noto Sans CJK SC"/>
        <family val="2"/>
      </rPr>
      <t xml:space="preserve">功能指标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二三维场景重建</t>
    </r>
    <r>
      <rPr>
        <sz val="10"/>
        <color rgb="FF000000"/>
        <rFont val="宋体"/>
        <family val="0"/>
        <charset val="1"/>
      </rPr>
      <t xml:space="preserve">(2)</t>
    </r>
  </si>
  <si>
    <t xml:space="preserve">建模全自动化处理，无人工参数设置干预，自启重建算法</t>
  </si>
  <si>
    <t xml:space="preserve">C-RC-F02</t>
  </si>
  <si>
    <t xml:space="preserve">TR-RC-F3</t>
  </si>
  <si>
    <r>
      <rPr>
        <sz val="10"/>
        <color rgb="FF000000"/>
        <rFont val="Noto Sans CJK SC"/>
        <family val="2"/>
      </rPr>
      <t xml:space="preserve">功能指标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二三维场景重建</t>
    </r>
    <r>
      <rPr>
        <sz val="10"/>
        <color rgb="FF000000"/>
        <rFont val="宋体"/>
        <family val="0"/>
        <charset val="1"/>
      </rPr>
      <t xml:space="preserve">(3)</t>
    </r>
  </si>
  <si>
    <t xml:space="preserve">支持正射影像快拼，重建过程中实时显示快拼影像图</t>
  </si>
  <si>
    <t xml:space="preserve">C-RC-F03</t>
  </si>
  <si>
    <t xml:space="preserve">D</t>
  </si>
  <si>
    <t xml:space="preserve">TR-RC-F4</t>
  </si>
  <si>
    <r>
      <rPr>
        <sz val="10"/>
        <color rgb="FF000000"/>
        <rFont val="Noto Sans CJK SC"/>
        <family val="2"/>
      </rPr>
      <t xml:space="preserve">功能指标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二三维场景重建</t>
    </r>
    <r>
      <rPr>
        <sz val="10"/>
        <color rgb="FF000000"/>
        <rFont val="宋体"/>
        <family val="0"/>
        <charset val="1"/>
      </rPr>
      <t xml:space="preserve">(4)</t>
    </r>
  </si>
  <si>
    <t xml:space="preserve">支持输出建模报告，包含但不限于模型面积、模型地物分辨率、建模时间等信息</t>
  </si>
  <si>
    <t xml:space="preserve">C-RC-F04</t>
  </si>
  <si>
    <r>
      <rPr>
        <sz val="10"/>
        <color rgb="FF000000"/>
        <rFont val="宋体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宋体"/>
        <family val="0"/>
        <charset val="1"/>
      </rPr>
      <t xml:space="preserve">Z</t>
    </r>
  </si>
  <si>
    <t xml:space="preserve">TR-RC-F5</t>
  </si>
  <si>
    <r>
      <rPr>
        <sz val="10"/>
        <color rgb="FF000000"/>
        <rFont val="Noto Sans CJK SC"/>
        <family val="2"/>
      </rPr>
      <t xml:space="preserve">功能指标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二三维场景重建</t>
    </r>
    <r>
      <rPr>
        <sz val="10"/>
        <color rgb="FF000000"/>
        <rFont val="宋体"/>
        <family val="0"/>
        <charset val="1"/>
      </rPr>
      <t xml:space="preserve">(5)</t>
    </r>
  </si>
  <si>
    <r>
      <rPr>
        <sz val="10"/>
        <color rgb="FF000000"/>
        <rFont val="Noto Sans CJK SC"/>
        <family val="2"/>
      </rPr>
      <t xml:space="preserve">实时建模、快速建模的工程状态可实时显示在界面，包含不限于工程状态、无人机连接状态、</t>
    </r>
    <r>
      <rPr>
        <sz val="10"/>
        <color rgb="FF000000"/>
        <rFont val="宋体"/>
        <family val="0"/>
        <charset val="1"/>
      </rPr>
      <t xml:space="preserve">RTK</t>
    </r>
    <r>
      <rPr>
        <sz val="10"/>
        <color rgb="FF000000"/>
        <rFont val="Noto Sans CJK SC"/>
        <family val="2"/>
      </rPr>
      <t xml:space="preserve">连接状态、图传数据状态、实时空三处理状态、重建状态、成果状态等</t>
    </r>
  </si>
  <si>
    <t xml:space="preserve">C-RC-F05</t>
  </si>
  <si>
    <t xml:space="preserve">TR-RC-F6</t>
  </si>
  <si>
    <r>
      <rPr>
        <sz val="10"/>
        <color rgb="FF000000"/>
        <rFont val="Noto Sans CJK SC"/>
        <family val="2"/>
      </rPr>
      <t xml:space="preserve">功能指标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二三维场景重建</t>
    </r>
    <r>
      <rPr>
        <sz val="10"/>
        <color rgb="FF000000"/>
        <rFont val="宋体"/>
        <family val="0"/>
        <charset val="1"/>
      </rPr>
      <t xml:space="preserve">(6)</t>
    </r>
  </si>
  <si>
    <t xml:space="preserve">量测分析功能：对可视化界面数据进行高度、长度、面积测量</t>
  </si>
  <si>
    <t xml:space="preserve">C-RC-F06</t>
  </si>
  <si>
    <t xml:space="preserve">TR-RC-F7</t>
  </si>
  <si>
    <r>
      <rPr>
        <sz val="10"/>
        <color rgb="FF000000"/>
        <rFont val="Noto Sans CJK SC"/>
        <family val="2"/>
      </rPr>
      <t xml:space="preserve">功能指标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二三维场景重建</t>
    </r>
    <r>
      <rPr>
        <sz val="10"/>
        <color rgb="FF000000"/>
        <rFont val="宋体"/>
        <family val="0"/>
        <charset val="1"/>
      </rPr>
      <t xml:space="preserve">(7)</t>
    </r>
  </si>
  <si>
    <t xml:space="preserve">智能标绘功能：对实景三维模型可智能标绘（点、线、面、水面）及设置属性信息，支持标绘数据导出</t>
  </si>
  <si>
    <t xml:space="preserve">C-RC-F07</t>
  </si>
  <si>
    <t xml:space="preserve">TR-RC-F8</t>
  </si>
  <si>
    <r>
      <rPr>
        <sz val="10"/>
        <color rgb="FF000000"/>
        <rFont val="Noto Sans CJK SC"/>
        <family val="2"/>
      </rPr>
      <t xml:space="preserve">功能指标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二三维场景重建</t>
    </r>
    <r>
      <rPr>
        <sz val="10"/>
        <color rgb="FF000000"/>
        <rFont val="宋体"/>
        <family val="0"/>
        <charset val="1"/>
      </rPr>
      <t xml:space="preserve">(8)</t>
    </r>
  </si>
  <si>
    <t xml:space="preserve">生成的地图模型能够支持无人车路径规划和路径规划模型训练</t>
  </si>
  <si>
    <t xml:space="preserve">C-RC-F08</t>
  </si>
  <si>
    <r>
      <rPr>
        <sz val="10"/>
        <color rgb="FF000000"/>
        <rFont val="Noto Sans CJK SC"/>
        <family val="2"/>
      </rPr>
      <t xml:space="preserve">验收方式（演示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分析）待确认</t>
    </r>
  </si>
  <si>
    <t xml:space="preserve">TR-RC-F9</t>
  </si>
  <si>
    <r>
      <rPr>
        <sz val="10"/>
        <color rgb="FF000000"/>
        <rFont val="Noto Sans CJK SC"/>
        <family val="2"/>
      </rPr>
      <t xml:space="preserve">功能指标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二三维场景重建</t>
    </r>
    <r>
      <rPr>
        <sz val="10"/>
        <color rgb="FF000000"/>
        <rFont val="宋体"/>
        <family val="0"/>
        <charset val="1"/>
      </rPr>
      <t xml:space="preserve">(9)</t>
    </r>
  </si>
  <si>
    <r>
      <rPr>
        <sz val="10"/>
        <color rgb="FF000000"/>
        <rFont val="Noto Sans CJK SC"/>
        <family val="2"/>
      </rPr>
      <t xml:space="preserve">生成的二三维环境图层能够接入现有的数字地球（包括但不限于接入</t>
    </r>
    <r>
      <rPr>
        <sz val="10"/>
        <color rgb="FF000000"/>
        <rFont val="宋体"/>
        <family val="0"/>
        <charset val="1"/>
      </rPr>
      <t xml:space="preserve">GeoTIFF</t>
    </r>
    <r>
      <rPr>
        <sz val="10"/>
        <color rgb="FF000000"/>
        <rFont val="Noto Sans CJK SC"/>
        <family val="2"/>
      </rPr>
      <t xml:space="preserve">和</t>
    </r>
    <r>
      <rPr>
        <sz val="10"/>
        <color rgb="FF000000"/>
        <rFont val="宋体"/>
        <family val="0"/>
        <charset val="1"/>
      </rPr>
      <t xml:space="preserve">OSGB</t>
    </r>
    <r>
      <rPr>
        <sz val="10"/>
        <color rgb="FF000000"/>
        <rFont val="Noto Sans CJK SC"/>
        <family val="2"/>
      </rPr>
      <t xml:space="preserve">格式）</t>
    </r>
  </si>
  <si>
    <t xml:space="preserve">C-RC-F09</t>
  </si>
  <si>
    <t xml:space="preserve">C-FUNC-05</t>
  </si>
  <si>
    <r>
      <rPr>
        <sz val="10"/>
        <color rgb="FF000000"/>
        <rFont val="Noto Sans CJK SC"/>
        <family val="2"/>
      </rPr>
      <t xml:space="preserve">重建软件输出；</t>
    </r>
    <r>
      <rPr>
        <sz val="10"/>
        <color rgb="FF000000"/>
        <rFont val="宋体"/>
        <family val="0"/>
        <charset val="1"/>
      </rPr>
      <t xml:space="preserve">ChangeDetect</t>
    </r>
    <r>
      <rPr>
        <sz val="10"/>
        <color rgb="FF000000"/>
        <rFont val="Noto Sans CJK SC"/>
        <family val="2"/>
      </rPr>
      <t xml:space="preserve">接入加载</t>
    </r>
  </si>
  <si>
    <t xml:space="preserve">TR-RC-P1</t>
  </si>
  <si>
    <r>
      <rPr>
        <sz val="10"/>
        <color rgb="FF000000"/>
        <rFont val="Noto Sans CJK SC"/>
        <family val="2"/>
      </rPr>
      <t xml:space="preserve">性能指标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二三维场景重建</t>
    </r>
    <r>
      <rPr>
        <sz val="10"/>
        <color rgb="FF000000"/>
        <rFont val="宋体"/>
        <family val="0"/>
        <charset val="1"/>
      </rPr>
      <t xml:space="preserve">(1)</t>
    </r>
  </si>
  <si>
    <r>
      <rPr>
        <sz val="10"/>
        <color rgb="FF000000"/>
        <rFont val="宋体"/>
        <family val="0"/>
        <charset val="1"/>
      </rPr>
      <t xml:space="preserve">400m*500m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宋体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平方公里）场景的三维重建时间不大于</t>
    </r>
    <r>
      <rPr>
        <sz val="10"/>
        <color rgb="FF000000"/>
        <rFont val="宋体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分钟</t>
    </r>
  </si>
  <si>
    <t xml:space="preserve">C-RC-P01</t>
  </si>
  <si>
    <t xml:space="preserve">TR-RC-P2</t>
  </si>
  <si>
    <r>
      <rPr>
        <sz val="10"/>
        <color rgb="FF000000"/>
        <rFont val="Noto Sans CJK SC"/>
        <family val="2"/>
      </rPr>
      <t xml:space="preserve">性能指标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二三维场景重建</t>
    </r>
    <r>
      <rPr>
        <sz val="10"/>
        <color rgb="FF000000"/>
        <rFont val="宋体"/>
        <family val="0"/>
        <charset val="1"/>
      </rPr>
      <t xml:space="preserve">(2)</t>
    </r>
  </si>
  <si>
    <r>
      <rPr>
        <sz val="10"/>
        <color rgb="FF000000"/>
        <rFont val="Noto Sans CJK SC"/>
        <family val="2"/>
      </rPr>
      <t xml:space="preserve">支持实时建模、快速建模两种建模方式，快速重建支持不少于</t>
    </r>
    <r>
      <rPr>
        <sz val="10"/>
        <color rgb="FF000000"/>
        <rFont val="宋体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种重建算法，包括高效率重建、高质量重建</t>
    </r>
  </si>
  <si>
    <t xml:space="preserve">C-RC-P02</t>
  </si>
  <si>
    <t xml:space="preserve">TR-OT-1</t>
  </si>
  <si>
    <r>
      <rPr>
        <sz val="10"/>
        <color rgb="FF000000"/>
        <rFont val="Noto Sans CJK SC"/>
        <family val="2"/>
      </rPr>
      <t xml:space="preserve">其他要求</t>
    </r>
    <r>
      <rPr>
        <sz val="10"/>
        <color rgb="FF000000"/>
        <rFont val="宋体"/>
        <family val="0"/>
        <charset val="1"/>
      </rPr>
      <t xml:space="preserve">(1)</t>
    </r>
  </si>
  <si>
    <t xml:space="preserve">支持跨平台部署，环境变化检测模块支持国产化和非国产化硬件部署</t>
  </si>
  <si>
    <t xml:space="preserve">C-CD-O01</t>
  </si>
  <si>
    <r>
      <rPr>
        <sz val="10"/>
        <color rgb="FF000000"/>
        <rFont val="宋体"/>
        <family val="0"/>
        <charset val="1"/>
      </rPr>
      <t xml:space="preserve">Z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宋体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</si>
  <si>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已写入</t>
    </r>
    <r>
      <rPr>
        <sz val="10"/>
        <color rgb="FF000000"/>
        <rFont val="宋体"/>
        <family val="0"/>
        <charset val="1"/>
      </rPr>
      <t xml:space="preserve">SRS</t>
    </r>
    <r>
      <rPr>
        <sz val="10"/>
        <color rgb="FF000000"/>
        <rFont val="Noto Sans CJK SC"/>
        <family val="2"/>
      </rPr>
      <t xml:space="preserve">，现有环境需求未覆盖</t>
    </r>
  </si>
  <si>
    <r>
      <rPr>
        <sz val="10"/>
        <color rgb="FF000000"/>
        <rFont val="Noto Sans CJK SC"/>
        <family val="2"/>
      </rPr>
      <t xml:space="preserve">现有</t>
    </r>
    <r>
      <rPr>
        <sz val="10"/>
        <color rgb="FF000000"/>
        <rFont val="宋体"/>
        <family val="0"/>
        <charset val="1"/>
      </rPr>
      <t xml:space="preserve">SRS 3.9</t>
    </r>
    <r>
      <rPr>
        <sz val="10"/>
        <color rgb="FF000000"/>
        <rFont val="Noto Sans CJK SC"/>
        <family val="2"/>
      </rPr>
      <t xml:space="preserve">仅描述</t>
    </r>
    <r>
      <rPr>
        <sz val="10"/>
        <color rgb="FF000000"/>
        <rFont val="宋体"/>
        <family val="0"/>
        <charset val="1"/>
      </rPr>
      <t xml:space="preserve">Windows+RTX3090</t>
    </r>
    <r>
      <rPr>
        <sz val="10"/>
        <color rgb="FF000000"/>
        <rFont val="Noto Sans CJK SC"/>
        <family val="2"/>
      </rPr>
      <t xml:space="preserve">平台，国产化硬件型号范围待确认</t>
    </r>
  </si>
  <si>
    <t xml:space="preserve">TR-DL-1</t>
  </si>
  <si>
    <r>
      <rPr>
        <sz val="10"/>
        <color rgb="FF000000"/>
        <rFont val="Noto Sans CJK SC"/>
        <family val="2"/>
      </rPr>
      <t xml:space="preserve">交付内容</t>
    </r>
    <r>
      <rPr>
        <sz val="10"/>
        <color rgb="FF000000"/>
        <rFont val="宋体"/>
        <family val="0"/>
        <charset val="1"/>
      </rPr>
      <t xml:space="preserve">(1)</t>
    </r>
  </si>
  <si>
    <r>
      <rPr>
        <sz val="10"/>
        <color rgb="FF000000"/>
        <rFont val="Noto Sans CJK SC"/>
        <family val="2"/>
      </rPr>
      <t xml:space="preserve">需求规格说明书（</t>
    </r>
    <r>
      <rPr>
        <sz val="10"/>
        <color rgb="FF000000"/>
        <rFont val="宋体"/>
        <family val="0"/>
        <charset val="1"/>
      </rPr>
      <t xml:space="preserve">GJB438C-2023</t>
    </r>
    <r>
      <rPr>
        <sz val="10"/>
        <color rgb="FF000000"/>
        <rFont val="Noto Sans CJK SC"/>
        <family val="2"/>
      </rPr>
      <t xml:space="preserve">）</t>
    </r>
  </si>
  <si>
    <t xml:space="preserve">3.16</t>
  </si>
  <si>
    <t xml:space="preserve">文档交付</t>
  </si>
  <si>
    <t xml:space="preserve">Z</t>
  </si>
  <si>
    <t xml:space="preserve">文档交付（待编写）</t>
  </si>
  <si>
    <t xml:space="preserve">对应本文档</t>
  </si>
  <si>
    <t xml:space="preserve">TR-DL-2</t>
  </si>
  <si>
    <r>
      <rPr>
        <sz val="10"/>
        <color rgb="FF000000"/>
        <rFont val="Noto Sans CJK SC"/>
        <family val="2"/>
      </rPr>
      <t xml:space="preserve">交付内容</t>
    </r>
    <r>
      <rPr>
        <sz val="10"/>
        <color rgb="FF000000"/>
        <rFont val="宋体"/>
        <family val="0"/>
        <charset val="1"/>
      </rPr>
      <t xml:space="preserve">(2)</t>
    </r>
  </si>
  <si>
    <r>
      <rPr>
        <sz val="10"/>
        <color rgb="FF000000"/>
        <rFont val="Noto Sans CJK SC"/>
        <family val="2"/>
      </rPr>
      <t xml:space="preserve">详细设计说明书（</t>
    </r>
    <r>
      <rPr>
        <sz val="10"/>
        <color rgb="FF000000"/>
        <rFont val="宋体"/>
        <family val="0"/>
        <charset val="1"/>
      </rPr>
      <t xml:space="preserve">GJB438C-2023</t>
    </r>
    <r>
      <rPr>
        <sz val="10"/>
        <color rgb="FF000000"/>
        <rFont val="Noto Sans CJK SC"/>
        <family val="2"/>
      </rPr>
      <t xml:space="preserve">）</t>
    </r>
  </si>
  <si>
    <t xml:space="preserve">对应《软件设计说明》（待编写）</t>
  </si>
  <si>
    <t xml:space="preserve">TR-DL-3</t>
  </si>
  <si>
    <r>
      <rPr>
        <sz val="10"/>
        <color rgb="FF000000"/>
        <rFont val="Noto Sans CJK SC"/>
        <family val="2"/>
      </rPr>
      <t xml:space="preserve">交付内容</t>
    </r>
    <r>
      <rPr>
        <sz val="10"/>
        <color rgb="FF000000"/>
        <rFont val="宋体"/>
        <family val="0"/>
        <charset val="1"/>
      </rPr>
      <t xml:space="preserve">(3)</t>
    </r>
  </si>
  <si>
    <t xml:space="preserve">测试大纲、测试用例、测试报告</t>
  </si>
  <si>
    <t xml:space="preserve">对应验收阶段文档（待编写），具体对应关系待确认</t>
  </si>
  <si>
    <t xml:space="preserve">TR-DL-4</t>
  </si>
  <si>
    <r>
      <rPr>
        <sz val="10"/>
        <color rgb="FF000000"/>
        <rFont val="Noto Sans CJK SC"/>
        <family val="2"/>
      </rPr>
      <t xml:space="preserve">交付内容</t>
    </r>
    <r>
      <rPr>
        <sz val="10"/>
        <color rgb="FF000000"/>
        <rFont val="宋体"/>
        <family val="0"/>
        <charset val="1"/>
      </rPr>
      <t xml:space="preserve">(4)</t>
    </r>
  </si>
  <si>
    <t xml:space="preserve">使用和维护说明书</t>
  </si>
  <si>
    <t xml:space="preserve">对应《软件用户手册》（待编写）</t>
  </si>
  <si>
    <t xml:space="preserve">TR-DL-5</t>
  </si>
  <si>
    <r>
      <rPr>
        <sz val="10"/>
        <color rgb="FF000000"/>
        <rFont val="Noto Sans CJK SC"/>
        <family val="2"/>
      </rPr>
      <t xml:space="preserve">交付内容</t>
    </r>
    <r>
      <rPr>
        <sz val="10"/>
        <color rgb="FF000000"/>
        <rFont val="宋体"/>
        <family val="0"/>
        <charset val="1"/>
      </rPr>
      <t xml:space="preserve">(5)</t>
    </r>
  </si>
  <si>
    <r>
      <rPr>
        <sz val="10"/>
        <color rgb="FF000000"/>
        <rFont val="Noto Sans CJK SC"/>
        <family val="2"/>
      </rPr>
      <t xml:space="preserve">环境变化检测软件</t>
    </r>
    <r>
      <rPr>
        <sz val="10"/>
        <color rgb="FF000000"/>
        <rFont val="宋体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套，源码</t>
    </r>
    <r>
      <rPr>
        <sz val="10"/>
        <color rgb="FF000000"/>
        <rFont val="宋体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套，能够协助甲方完成实验室和实装部署</t>
    </r>
  </si>
  <si>
    <t xml:space="preserve">待确认</t>
  </si>
  <si>
    <r>
      <rPr>
        <sz val="10"/>
        <color rgb="FF000000"/>
        <rFont val="Noto Sans CJK SC"/>
        <family val="2"/>
      </rPr>
      <t xml:space="preserve">软件及部署协助见</t>
    </r>
    <r>
      <rPr>
        <sz val="10"/>
        <color rgb="FF000000"/>
        <rFont val="宋体"/>
        <family val="0"/>
        <charset val="1"/>
      </rPr>
      <t xml:space="preserve">3.16</t>
    </r>
    <r>
      <rPr>
        <sz val="10"/>
        <color rgb="FF000000"/>
        <rFont val="Noto Sans CJK SC"/>
        <family val="2"/>
      </rPr>
      <t xml:space="preserve">；“源码</t>
    </r>
    <r>
      <rPr>
        <sz val="10"/>
        <color rgb="FF000000"/>
        <rFont val="宋体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套”的交付方式待确认</t>
    </r>
  </si>
  <si>
    <t xml:space="preserve">TR-DL-6</t>
  </si>
  <si>
    <r>
      <rPr>
        <sz val="10"/>
        <color rgb="FF000000"/>
        <rFont val="Noto Sans CJK SC"/>
        <family val="2"/>
      </rPr>
      <t xml:space="preserve">交付内容</t>
    </r>
    <r>
      <rPr>
        <sz val="10"/>
        <color rgb="FF000000"/>
        <rFont val="宋体"/>
        <family val="0"/>
        <charset val="1"/>
      </rPr>
      <t xml:space="preserve">(6)</t>
    </r>
  </si>
  <si>
    <r>
      <rPr>
        <sz val="10"/>
        <color rgb="FF000000"/>
        <rFont val="Noto Sans CJK SC"/>
        <family val="2"/>
      </rPr>
      <t xml:space="preserve">二三维环境重建软件</t>
    </r>
    <r>
      <rPr>
        <sz val="10"/>
        <color rgb="FF000000"/>
        <rFont val="宋体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套，源码</t>
    </r>
    <r>
      <rPr>
        <sz val="10"/>
        <color rgb="FF000000"/>
        <rFont val="宋体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套，能够协助甲方完成实验室和实装部署</t>
    </r>
  </si>
  <si>
    <r>
      <rPr>
        <sz val="10"/>
        <color rgb="FF000000"/>
        <rFont val="Noto Sans CJK SC"/>
        <family val="2"/>
      </rPr>
      <t xml:space="preserve">软件交付形式、授权台数及“源码</t>
    </r>
    <r>
      <rPr>
        <sz val="10"/>
        <color rgb="FF000000"/>
        <rFont val="宋体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套”待确认</t>
    </r>
  </si>
  <si>
    <t xml:space="preserve">汇总</t>
  </si>
  <si>
    <r>
      <rPr>
        <sz val="10"/>
        <color rgb="FF000000"/>
        <rFont val="宋体"/>
        <family val="0"/>
        <charset val="1"/>
      </rPr>
      <t xml:space="preserve">V1.2</t>
    </r>
    <r>
      <rPr>
        <sz val="10"/>
        <color rgb="FF000000"/>
        <rFont val="Noto Sans CJK SC"/>
        <family val="2"/>
      </rPr>
      <t xml:space="preserve">条款总数</t>
    </r>
  </si>
  <si>
    <r>
      <rPr>
        <sz val="10"/>
        <color rgb="FF000000"/>
        <rFont val="Noto Sans CJK SC"/>
        <family val="2"/>
      </rPr>
      <t xml:space="preserve">已写入</t>
    </r>
    <r>
      <rPr>
        <sz val="10"/>
        <color rgb="FF000000"/>
        <rFont val="宋体"/>
        <family val="0"/>
        <charset val="1"/>
      </rPr>
      <t xml:space="preserve">SRS</t>
    </r>
    <r>
      <rPr>
        <sz val="10"/>
        <color rgb="FF000000"/>
        <rFont val="Noto Sans CJK SC"/>
        <family val="2"/>
      </rPr>
      <t xml:space="preserve">（含引入件）</t>
    </r>
  </si>
  <si>
    <t xml:space="preserve">其中引入件条款</t>
  </si>
  <si>
    <t xml:space="preserve">设计说明章节尚未填写</t>
  </si>
  <si>
    <r>
      <rPr>
        <sz val="10"/>
        <color rgb="FF000000"/>
        <rFont val="Noto Sans CJK SC"/>
        <family val="2"/>
      </rPr>
      <t xml:space="preserve">验收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测试用例尚未填写</t>
    </r>
  </si>
  <si>
    <r>
      <rPr>
        <sz val="10"/>
        <color rgb="FF000000"/>
        <rFont val="Noto Sans CJK SC"/>
        <family val="2"/>
      </rPr>
      <t xml:space="preserve">注：“已写入</t>
    </r>
    <r>
      <rPr>
        <sz val="10"/>
        <color rgb="FF000000"/>
        <rFont val="宋体"/>
        <family val="0"/>
        <charset val="1"/>
      </rPr>
      <t xml:space="preserve">SRS”</t>
    </r>
    <r>
      <rPr>
        <sz val="10"/>
        <color rgb="FF000000"/>
        <rFont val="Noto Sans CJK SC"/>
        <family val="2"/>
      </rPr>
      <t xml:space="preserve">仅表示该条款已转化为</t>
    </r>
    <r>
      <rPr>
        <sz val="10"/>
        <color rgb="FF000000"/>
        <rFont val="宋体"/>
        <family val="0"/>
        <charset val="1"/>
      </rPr>
      <t xml:space="preserve">SRS</t>
    </r>
    <r>
      <rPr>
        <sz val="10"/>
        <color rgb="FF000000"/>
        <rFont val="Noto Sans CJK SC"/>
        <family val="2"/>
      </rPr>
      <t xml:space="preserve">需求项，不代表软件已满足该条款；满足情况以验收结果为准。</t>
    </r>
  </si>
  <si>
    <r>
      <rPr>
        <b val="true"/>
        <sz val="14"/>
        <color rgb="FF000000"/>
        <rFont val="宋体"/>
        <family val="0"/>
        <charset val="1"/>
      </rPr>
      <t xml:space="preserve">CSCI</t>
    </r>
    <r>
      <rPr>
        <b val="true"/>
        <sz val="14"/>
        <color rgb="FF000000"/>
        <rFont val="Noto Sans CJK SC"/>
        <family val="2"/>
      </rPr>
      <t xml:space="preserve">能力需求到技术要求</t>
    </r>
    <r>
      <rPr>
        <b val="true"/>
        <sz val="14"/>
        <color rgb="FF000000"/>
        <rFont val="宋体"/>
        <family val="0"/>
        <charset val="1"/>
      </rPr>
      <t xml:space="preserve">V1.2</t>
    </r>
    <r>
      <rPr>
        <b val="true"/>
        <sz val="14"/>
        <color rgb="FF000000"/>
        <rFont val="Noto Sans CJK SC"/>
        <family val="2"/>
      </rPr>
      <t xml:space="preserve">条款的追踪（与</t>
    </r>
    <r>
      <rPr>
        <b val="true"/>
        <sz val="14"/>
        <color rgb="FF000000"/>
        <rFont val="宋体"/>
        <family val="0"/>
        <charset val="1"/>
      </rPr>
      <t xml:space="preserve">SRS</t>
    </r>
    <r>
      <rPr>
        <b val="true"/>
        <sz val="14"/>
        <color rgb="FF000000"/>
        <rFont val="Noto Sans CJK SC"/>
        <family val="2"/>
      </rPr>
      <t xml:space="preserve">第</t>
    </r>
    <r>
      <rPr>
        <b val="true"/>
        <sz val="14"/>
        <color rgb="FF000000"/>
        <rFont val="宋体"/>
        <family val="0"/>
        <charset val="1"/>
      </rPr>
      <t xml:space="preserve">5</t>
    </r>
    <r>
      <rPr>
        <b val="true"/>
        <sz val="14"/>
        <color rgb="FF000000"/>
        <rFont val="Noto Sans CJK SC"/>
        <family val="2"/>
      </rPr>
      <t xml:space="preserve">章表</t>
    </r>
    <r>
      <rPr>
        <b val="true"/>
        <sz val="14"/>
        <color rgb="FF000000"/>
        <rFont val="宋体"/>
        <family val="0"/>
        <charset val="1"/>
      </rPr>
      <t xml:space="preserve">22</t>
    </r>
    <r>
      <rPr>
        <b val="true"/>
        <sz val="14"/>
        <color rgb="FF000000"/>
        <rFont val="Noto Sans CJK SC"/>
        <family val="2"/>
      </rPr>
      <t xml:space="preserve">一致；</t>
    </r>
    <r>
      <rPr>
        <b val="true"/>
        <sz val="14"/>
        <color rgb="FF000000"/>
        <rFont val="宋体"/>
        <family val="0"/>
        <charset val="1"/>
      </rPr>
      <t xml:space="preserve">V1.1</t>
    </r>
    <r>
      <rPr>
        <b val="true"/>
        <sz val="14"/>
        <color rgb="FF000000"/>
        <rFont val="Noto Sans CJK SC"/>
        <family val="2"/>
      </rPr>
      <t xml:space="preserve">已删除</t>
    </r>
    <r>
      <rPr>
        <b val="true"/>
        <sz val="14"/>
        <color rgb="FF000000"/>
        <rFont val="宋体"/>
        <family val="0"/>
        <charset val="1"/>
      </rPr>
      <t xml:space="preserve">C-FUNC-04</t>
    </r>
    <r>
      <rPr>
        <b val="true"/>
        <sz val="14"/>
        <color rgb="FF000000"/>
        <rFont val="Noto Sans CJK SC"/>
        <family val="2"/>
      </rPr>
      <t xml:space="preserve">、</t>
    </r>
    <r>
      <rPr>
        <b val="true"/>
        <sz val="14"/>
        <color rgb="FF000000"/>
        <rFont val="宋体"/>
        <family val="0"/>
        <charset val="1"/>
      </rPr>
      <t xml:space="preserve">C-FUNC-07</t>
    </r>
    <r>
      <rPr>
        <b val="true"/>
        <sz val="14"/>
        <color rgb="FF000000"/>
        <rFont val="Noto Sans CJK SC"/>
        <family val="2"/>
      </rPr>
      <t xml:space="preserve">及其相关内容）</t>
    </r>
  </si>
  <si>
    <r>
      <rPr>
        <b val="true"/>
        <sz val="10"/>
        <color rgb="FF000000"/>
        <rFont val="宋体"/>
        <family val="0"/>
        <charset val="1"/>
      </rPr>
      <t xml:space="preserve">SRS</t>
    </r>
    <r>
      <rPr>
        <b val="true"/>
        <sz val="10"/>
        <color rgb="FF000000"/>
        <rFont val="Noto Sans CJK SC"/>
        <family val="2"/>
      </rPr>
      <t xml:space="preserve">需求标识</t>
    </r>
  </si>
  <si>
    <t xml:space="preserve">需求名称</t>
  </si>
  <si>
    <r>
      <rPr>
        <b val="true"/>
        <sz val="10"/>
        <color rgb="FF000000"/>
        <rFont val="Noto Sans CJK SC"/>
        <family val="2"/>
      </rPr>
      <t xml:space="preserve">对应</t>
    </r>
    <r>
      <rPr>
        <b val="true"/>
        <sz val="10"/>
        <color rgb="FF000000"/>
        <rFont val="宋体"/>
        <family val="0"/>
        <charset val="1"/>
      </rPr>
      <t xml:space="preserve">V1.2</t>
    </r>
    <r>
      <rPr>
        <b val="true"/>
        <sz val="10"/>
        <color rgb="FF000000"/>
        <rFont val="Noto Sans CJK SC"/>
        <family val="2"/>
      </rPr>
      <t xml:space="preserve">条款</t>
    </r>
  </si>
  <si>
    <t xml:space="preserve">追踪关系</t>
  </si>
  <si>
    <t xml:space="preserve">备注</t>
  </si>
  <si>
    <t xml:space="preserve">C-FUNC-01</t>
  </si>
  <si>
    <t xml:space="preserve">3.2.1</t>
  </si>
  <si>
    <t xml:space="preserve">多源遥感数据采集与预处理</t>
  </si>
  <si>
    <r>
      <rPr>
        <sz val="10"/>
        <color rgb="FF000000"/>
        <rFont val="宋体"/>
        <family val="0"/>
        <charset val="1"/>
      </rPr>
      <t xml:space="preserve">TR-CD-F1</t>
    </r>
    <r>
      <rPr>
        <sz val="10"/>
        <color rgb="FF000000"/>
        <rFont val="Noto Sans CJK SC"/>
        <family val="2"/>
      </rPr>
      <t xml:space="preserve">（支撑）</t>
    </r>
  </si>
  <si>
    <t xml:space="preserve">派生</t>
  </si>
  <si>
    <t xml:space="preserve">3.2.2</t>
  </si>
  <si>
    <t xml:space="preserve">图像匹配与配准</t>
  </si>
  <si>
    <r>
      <rPr>
        <sz val="10"/>
        <color rgb="FF000000"/>
        <rFont val="宋体"/>
        <family val="0"/>
        <charset val="1"/>
      </rPr>
      <t xml:space="preserve">TR-CD-F1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宋体"/>
        <family val="0"/>
        <charset val="1"/>
      </rPr>
      <t xml:space="preserve">TR-CD-P3</t>
    </r>
  </si>
  <si>
    <t xml:space="preserve">实现</t>
  </si>
  <si>
    <t xml:space="preserve">3.2.3</t>
  </si>
  <si>
    <t xml:space="preserve">双任务变化检测推理</t>
  </si>
  <si>
    <r>
      <rPr>
        <sz val="10"/>
        <color rgb="FF000000"/>
        <rFont val="宋体"/>
        <family val="0"/>
        <charset val="1"/>
      </rPr>
      <t xml:space="preserve">TR-CD-F2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宋体"/>
        <family val="0"/>
        <charset val="1"/>
      </rPr>
      <t xml:space="preserve">F5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宋体"/>
        <family val="0"/>
        <charset val="1"/>
      </rPr>
      <t xml:space="preserve">TR-CD-P1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宋体"/>
        <family val="0"/>
        <charset val="1"/>
      </rPr>
      <t xml:space="preserve">P3</t>
    </r>
  </si>
  <si>
    <t xml:space="preserve">C-FUNC-08</t>
  </si>
  <si>
    <t xml:space="preserve">环境变化检测功能</t>
  </si>
  <si>
    <r>
      <rPr>
        <sz val="10"/>
        <color rgb="FF000000"/>
        <rFont val="宋体"/>
        <family val="0"/>
        <charset val="1"/>
      </rPr>
      <t xml:space="preserve">TR-CD-F1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宋体"/>
        <family val="0"/>
        <charset val="1"/>
      </rPr>
      <t xml:space="preserve">F6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宋体"/>
        <family val="0"/>
        <charset val="1"/>
      </rPr>
      <t xml:space="preserve">TR-CD-P1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宋体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宋体"/>
        <family val="0"/>
        <charset val="1"/>
      </rPr>
      <t xml:space="preserve">TR-OT-1</t>
    </r>
  </si>
  <si>
    <r>
      <rPr>
        <sz val="10"/>
        <color rgb="FF000000"/>
        <rFont val="宋体"/>
        <family val="0"/>
        <charset val="1"/>
      </rPr>
      <t xml:space="preserve">V1.1</t>
    </r>
    <r>
      <rPr>
        <sz val="10"/>
        <color rgb="FF000000"/>
        <rFont val="Noto Sans CJK SC"/>
        <family val="2"/>
      </rPr>
      <t xml:space="preserve">新增编号；原</t>
    </r>
    <r>
      <rPr>
        <sz val="10"/>
        <color rgb="FF000000"/>
        <rFont val="宋体"/>
        <family val="0"/>
        <charset val="1"/>
      </rPr>
      <t xml:space="preserve">SRS</t>
    </r>
    <r>
      <rPr>
        <sz val="10"/>
        <color rgb="FF000000"/>
        <rFont val="Noto Sans CJK SC"/>
        <family val="2"/>
      </rPr>
      <t xml:space="preserve">该节无需求标识</t>
    </r>
  </si>
  <si>
    <r>
      <rPr>
        <sz val="10"/>
        <color rgb="FF000000"/>
        <rFont val="Noto Sans CJK SC"/>
        <family val="2"/>
      </rPr>
      <t xml:space="preserve">二三维环境重建能力（接入与展示）；重建软件要求见</t>
    </r>
    <r>
      <rPr>
        <sz val="10"/>
        <color rgb="FF000000"/>
        <rFont val="宋体"/>
        <family val="0"/>
        <charset val="1"/>
      </rPr>
      <t xml:space="preserve">C-RC-*</t>
    </r>
  </si>
  <si>
    <r>
      <rPr>
        <sz val="10"/>
        <color rgb="FF000000"/>
        <rFont val="宋体"/>
        <family val="0"/>
        <charset val="1"/>
      </rPr>
      <t xml:space="preserve">TR-RC-F1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宋体"/>
        <family val="0"/>
        <charset val="1"/>
      </rPr>
      <t xml:space="preserve">F9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宋体"/>
        <family val="0"/>
        <charset val="1"/>
      </rPr>
      <t xml:space="preserve">TR-RC-P1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宋体"/>
        <family val="0"/>
        <charset val="1"/>
      </rPr>
      <t xml:space="preserve">P2</t>
    </r>
  </si>
  <si>
    <r>
      <rPr>
        <sz val="10"/>
        <color rgb="FF000000"/>
        <rFont val="宋体"/>
        <family val="0"/>
        <charset val="1"/>
      </rPr>
      <t xml:space="preserve">F1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宋体"/>
        <family val="0"/>
        <charset val="1"/>
      </rPr>
      <t xml:space="preserve">F8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宋体"/>
        <family val="0"/>
        <charset val="1"/>
      </rPr>
      <t xml:space="preserve">P1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宋体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由外部引入的重建软件满足；</t>
    </r>
    <r>
      <rPr>
        <sz val="10"/>
        <color rgb="FF000000"/>
        <rFont val="宋体"/>
        <family val="0"/>
        <charset val="1"/>
      </rPr>
      <t xml:space="preserve">F9</t>
    </r>
    <r>
      <rPr>
        <sz val="10"/>
        <color rgb="FF000000"/>
        <rFont val="Noto Sans CJK SC"/>
        <family val="2"/>
      </rPr>
      <t xml:space="preserve">由重建软件输出、本软件接入</t>
    </r>
  </si>
  <si>
    <t xml:space="preserve">3.2.6</t>
  </si>
  <si>
    <r>
      <rPr>
        <sz val="10"/>
        <color rgb="FF000000"/>
        <rFont val="Noto Sans CJK SC"/>
        <family val="2"/>
      </rPr>
      <t xml:space="preserve">遥感影像数据分发与</t>
    </r>
    <r>
      <rPr>
        <sz val="10"/>
        <color rgb="FF000000"/>
        <rFont val="宋体"/>
        <family val="0"/>
        <charset val="1"/>
      </rPr>
      <t xml:space="preserve">WMTS/WMS</t>
    </r>
    <r>
      <rPr>
        <sz val="10"/>
        <color rgb="FF000000"/>
        <rFont val="Noto Sans CJK SC"/>
        <family val="2"/>
      </rPr>
      <t xml:space="preserve">服务发布</t>
    </r>
  </si>
  <si>
    <r>
      <rPr>
        <sz val="10"/>
        <color rgb="FF000000"/>
        <rFont val="宋体"/>
        <family val="0"/>
        <charset val="1"/>
      </rPr>
      <t xml:space="preserve">TR-CD-F6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宋体"/>
        <family val="0"/>
        <charset val="1"/>
      </rPr>
      <t xml:space="preserve">TR-CD-P4</t>
    </r>
  </si>
  <si>
    <t xml:space="preserve">编号规则与说明</t>
  </si>
  <si>
    <t xml:space="preserve">文件基线</t>
  </si>
  <si>
    <r>
      <rPr>
        <sz val="10"/>
        <color rgb="FF000000"/>
        <rFont val="Noto Sans CJK SC"/>
        <family val="2"/>
      </rPr>
      <t xml:space="preserve">技术要求：《环境变化检测和二三维战场环境重建软件技术要求》</t>
    </r>
    <r>
      <rPr>
        <sz val="10"/>
        <color rgb="FF000000"/>
        <rFont val="宋体"/>
        <family val="0"/>
        <charset val="1"/>
      </rPr>
      <t xml:space="preserve">V1.2</t>
    </r>
    <r>
      <rPr>
        <sz val="10"/>
        <color rgb="FF000000"/>
        <rFont val="Noto Sans CJK SC"/>
        <family val="2"/>
      </rPr>
      <t xml:space="preserve">；需求规格：《软件需求规格说明》</t>
    </r>
    <r>
      <rPr>
        <sz val="10"/>
        <color rgb="FF000000"/>
        <rFont val="宋体"/>
        <family val="0"/>
        <charset val="1"/>
      </rPr>
      <t xml:space="preserve">V1.1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宋体"/>
        <family val="0"/>
        <charset val="1"/>
      </rPr>
      <t xml:space="preserve">2026.10.12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</si>
  <si>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宋体"/>
        <family val="0"/>
        <charset val="1"/>
      </rPr>
      <t xml:space="preserve">TR-CD-F/P</t>
    </r>
    <r>
      <rPr>
        <sz val="10"/>
        <color rgb="FF000000"/>
        <rFont val="Noto Sans CJK SC"/>
        <family val="2"/>
      </rPr>
      <t xml:space="preserve">：环境变化检测功能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性能指标；</t>
    </r>
    <r>
      <rPr>
        <sz val="10"/>
        <color rgb="FF000000"/>
        <rFont val="宋体"/>
        <family val="0"/>
        <charset val="1"/>
      </rPr>
      <t xml:space="preserve">TR-RC-F/P</t>
    </r>
    <r>
      <rPr>
        <sz val="10"/>
        <color rgb="FF000000"/>
        <rFont val="Noto Sans CJK SC"/>
        <family val="2"/>
      </rPr>
      <t xml:space="preserve">：二三维场景重建功能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性能指标；</t>
    </r>
    <r>
      <rPr>
        <sz val="10"/>
        <color rgb="FF000000"/>
        <rFont val="宋体"/>
        <family val="0"/>
        <charset val="1"/>
      </rPr>
      <t xml:space="preserve">TR-OT</t>
    </r>
    <r>
      <rPr>
        <sz val="10"/>
        <color rgb="FF000000"/>
        <rFont val="Noto Sans CJK SC"/>
        <family val="2"/>
      </rPr>
      <t xml:space="preserve">：其他要求；</t>
    </r>
    <r>
      <rPr>
        <sz val="10"/>
        <color rgb="FF000000"/>
        <rFont val="宋体"/>
        <family val="0"/>
        <charset val="1"/>
      </rPr>
      <t xml:space="preserve">TR-DL</t>
    </r>
    <r>
      <rPr>
        <sz val="10"/>
        <color rgb="FF000000"/>
        <rFont val="Noto Sans CJK SC"/>
        <family val="2"/>
      </rPr>
      <t xml:space="preserve">：交付内容。数字为</t>
    </r>
    <r>
      <rPr>
        <sz val="10"/>
        <color rgb="FF000000"/>
        <rFont val="宋体"/>
        <family val="0"/>
        <charset val="1"/>
      </rPr>
      <t xml:space="preserve">V1.2</t>
    </r>
    <r>
      <rPr>
        <sz val="10"/>
        <color rgb="FF000000"/>
        <rFont val="Noto Sans CJK SC"/>
        <family val="2"/>
      </rPr>
      <t xml:space="preserve">原文中该小节的序号</t>
    </r>
  </si>
  <si>
    <r>
      <rPr>
        <b val="true"/>
        <sz val="10"/>
        <color rgb="FF000000"/>
        <rFont val="宋体"/>
        <family val="0"/>
        <charset val="1"/>
      </rPr>
      <t xml:space="preserve">SRS</t>
    </r>
    <r>
      <rPr>
        <b val="true"/>
        <sz val="10"/>
        <color rgb="FF000000"/>
        <rFont val="Noto Sans CJK SC"/>
        <family val="2"/>
      </rPr>
      <t xml:space="preserve">需求项编号</t>
    </r>
  </si>
  <si>
    <r>
      <rPr>
        <sz val="10"/>
        <color rgb="FF000000"/>
        <rFont val="宋体"/>
        <family val="0"/>
        <charset val="1"/>
      </rPr>
      <t xml:space="preserve">C-CD-F/P/O</t>
    </r>
    <r>
      <rPr>
        <sz val="10"/>
        <color rgb="FF000000"/>
        <rFont val="Noto Sans CJK SC"/>
        <family val="2"/>
      </rPr>
      <t xml:space="preserve">：环境变化检测功能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性能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其他需求（</t>
    </r>
    <r>
      <rPr>
        <sz val="10"/>
        <color rgb="FF000000"/>
        <rFont val="宋体"/>
        <family val="0"/>
        <charset val="1"/>
      </rPr>
      <t xml:space="preserve">SRS</t>
    </r>
    <r>
      <rPr>
        <sz val="10"/>
        <color rgb="FF000000"/>
        <rFont val="Noto Sans CJK SC"/>
        <family val="2"/>
      </rPr>
      <t xml:space="preserve">表</t>
    </r>
    <r>
      <rPr>
        <sz val="10"/>
        <color rgb="FF000000"/>
        <rFont val="宋体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宋体"/>
        <family val="0"/>
        <charset val="1"/>
      </rPr>
      <t xml:space="preserve">C-RC-F/P</t>
    </r>
    <r>
      <rPr>
        <sz val="10"/>
        <color rgb="FF000000"/>
        <rFont val="Noto Sans CJK SC"/>
        <family val="2"/>
      </rPr>
      <t xml:space="preserve">：二三维环境重建软件（外部引入）技术要求（</t>
    </r>
    <r>
      <rPr>
        <sz val="10"/>
        <color rgb="FF000000"/>
        <rFont val="宋体"/>
        <family val="0"/>
        <charset val="1"/>
      </rPr>
      <t xml:space="preserve">SRS</t>
    </r>
    <r>
      <rPr>
        <sz val="10"/>
        <color rgb="FF000000"/>
        <rFont val="Noto Sans CJK SC"/>
        <family val="2"/>
      </rPr>
      <t xml:space="preserve">表</t>
    </r>
    <r>
      <rPr>
        <sz val="10"/>
        <color rgb="FF000000"/>
        <rFont val="宋体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宋体"/>
        <family val="0"/>
        <charset val="1"/>
      </rPr>
      <t xml:space="preserve">C-FUNC-xx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宋体"/>
        <family val="0"/>
        <charset val="1"/>
      </rPr>
      <t xml:space="preserve">CSCI</t>
    </r>
    <r>
      <rPr>
        <sz val="10"/>
        <color rgb="FF000000"/>
        <rFont val="Noto Sans CJK SC"/>
        <family val="2"/>
      </rPr>
      <t xml:space="preserve">能力需求（</t>
    </r>
    <r>
      <rPr>
        <sz val="10"/>
        <color rgb="FF000000"/>
        <rFont val="宋体"/>
        <family val="0"/>
        <charset val="1"/>
      </rPr>
      <t xml:space="preserve">SRS 3.2</t>
    </r>
    <r>
      <rPr>
        <sz val="10"/>
        <color rgb="FF000000"/>
        <rFont val="Noto Sans CJK SC"/>
        <family val="2"/>
      </rPr>
      <t xml:space="preserve">节）</t>
    </r>
  </si>
  <si>
    <r>
      <rPr>
        <sz val="10"/>
        <color rgb="FF000000"/>
        <rFont val="宋体"/>
        <family val="0"/>
        <charset val="1"/>
      </rPr>
      <t xml:space="preserve">A-</t>
    </r>
    <r>
      <rPr>
        <sz val="10"/>
        <color rgb="FF000000"/>
        <rFont val="Noto Sans CJK SC"/>
        <family val="2"/>
      </rPr>
      <t xml:space="preserve">分析；</t>
    </r>
    <r>
      <rPr>
        <sz val="10"/>
        <color rgb="FF000000"/>
        <rFont val="宋体"/>
        <family val="0"/>
        <charset val="1"/>
      </rPr>
      <t xml:space="preserve">D-</t>
    </r>
    <r>
      <rPr>
        <sz val="10"/>
        <color rgb="FF000000"/>
        <rFont val="Noto Sans CJK SC"/>
        <family val="2"/>
      </rPr>
      <t xml:space="preserve">演示；</t>
    </r>
    <r>
      <rPr>
        <sz val="10"/>
        <color rgb="FF000000"/>
        <rFont val="宋体"/>
        <family val="0"/>
        <charset val="1"/>
      </rPr>
      <t xml:space="preserve">Z-</t>
    </r>
    <r>
      <rPr>
        <sz val="10"/>
        <color rgb="FF000000"/>
        <rFont val="Noto Sans CJK SC"/>
        <family val="2"/>
      </rPr>
      <t xml:space="preserve">检查；</t>
    </r>
    <r>
      <rPr>
        <sz val="10"/>
        <color rgb="FF000000"/>
        <rFont val="宋体"/>
        <family val="0"/>
        <charset val="1"/>
      </rPr>
      <t xml:space="preserve">T-</t>
    </r>
    <r>
      <rPr>
        <sz val="10"/>
        <color rgb="FF000000"/>
        <rFont val="Noto Sans CJK SC"/>
        <family val="2"/>
      </rPr>
      <t xml:space="preserve">测试（与</t>
    </r>
    <r>
      <rPr>
        <sz val="10"/>
        <color rgb="FF000000"/>
        <rFont val="宋体"/>
        <family val="0"/>
        <charset val="1"/>
      </rPr>
      <t xml:space="preserve">SRS</t>
    </r>
    <r>
      <rPr>
        <sz val="10"/>
        <color rgb="FF000000"/>
        <rFont val="Noto Sans CJK SC"/>
        <family val="2"/>
      </rPr>
      <t xml:space="preserve">第</t>
    </r>
    <r>
      <rPr>
        <sz val="10"/>
        <color rgb="FF000000"/>
        <rFont val="宋体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章一致）</t>
    </r>
  </si>
  <si>
    <r>
      <rPr>
        <sz val="10"/>
        <color rgb="FF000000"/>
        <rFont val="宋体"/>
        <family val="0"/>
        <charset val="1"/>
      </rPr>
      <t xml:space="preserve">“ChangeDetect</t>
    </r>
    <r>
      <rPr>
        <sz val="10"/>
        <color rgb="FF000000"/>
        <rFont val="Noto Sans CJK SC"/>
        <family val="2"/>
      </rPr>
      <t xml:space="preserve">自研”：由本软件实现；“重建软件（外部引入）”：由外部引入的二三维环境重建软件满足，本软件仅规定接口与技术要求</t>
    </r>
  </si>
  <si>
    <r>
      <rPr>
        <sz val="10"/>
        <color rgb="FF000000"/>
        <rFont val="Noto Sans CJK SC"/>
        <family val="2"/>
      </rPr>
      <t xml:space="preserve">已写入</t>
    </r>
    <r>
      <rPr>
        <sz val="10"/>
        <color rgb="FF000000"/>
        <rFont val="宋体"/>
        <family val="0"/>
        <charset val="1"/>
      </rPr>
      <t xml:space="preserve">SRS</t>
    </r>
    <r>
      <rPr>
        <sz val="10"/>
        <color rgb="FF000000"/>
        <rFont val="Noto Sans CJK SC"/>
        <family val="2"/>
      </rPr>
      <t xml:space="preserve">：条款已转为</t>
    </r>
    <r>
      <rPr>
        <sz val="10"/>
        <color rgb="FF000000"/>
        <rFont val="宋体"/>
        <family val="0"/>
        <charset val="1"/>
      </rPr>
      <t xml:space="preserve">SRS</t>
    </r>
    <r>
      <rPr>
        <sz val="10"/>
        <color rgb="FF000000"/>
        <rFont val="Noto Sans CJK SC"/>
        <family val="2"/>
      </rPr>
      <t xml:space="preserve">需求项（不代表已满足）；文档交付（待编写）：对应后续要编写的文档；待确认：见“待确认事项”列</t>
    </r>
  </si>
  <si>
    <t xml:space="preserve">待补列</t>
  </si>
  <si>
    <r>
      <rPr>
        <sz val="10"/>
        <color rgb="FF000000"/>
        <rFont val="Noto Sans CJK SC"/>
        <family val="2"/>
      </rPr>
      <t xml:space="preserve">“设计说明章节”“验收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测试用例”待相应文档编写后回填；</t>
    </r>
    <r>
      <rPr>
        <sz val="10"/>
        <color rgb="FF000000"/>
        <rFont val="宋体"/>
        <family val="0"/>
        <charset val="1"/>
      </rPr>
      <t xml:space="preserve">V1.2</t>
    </r>
    <r>
      <rPr>
        <sz val="10"/>
        <color rgb="FF000000"/>
        <rFont val="Noto Sans CJK SC"/>
        <family val="2"/>
      </rPr>
      <t xml:space="preserve">每一条条款必须能追到至少一个</t>
    </r>
    <r>
      <rPr>
        <sz val="10"/>
        <color rgb="FF000000"/>
        <rFont val="宋体"/>
        <family val="0"/>
        <charset val="1"/>
      </rPr>
      <t xml:space="preserve">SRS</t>
    </r>
    <r>
      <rPr>
        <sz val="10"/>
        <color rgb="FF000000"/>
        <rFont val="Noto Sans CJK SC"/>
        <family val="2"/>
      </rPr>
      <t xml:space="preserve">需求项和一个验收</t>
    </r>
    <r>
      <rPr>
        <sz val="10"/>
        <color rgb="FF000000"/>
        <rFont val="宋体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测试用例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</si>
</sst>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Noto Sans CJK SC"/>
      <family val="2"/>
    </font>
    <font>
      <b val="true"/>
      <sz val="14"/>
      <color rgb="FF000000"/>
      <name val="宋体"/>
      <family val="0"/>
      <charset val="1"/>
    </font>
    <font>
      <sz val="10"/>
      <color rgb="FF000000"/>
      <name val="Noto Sans CJK SC"/>
      <family val="2"/>
    </font>
    <font>
      <sz val="10"/>
      <color rgb="FF000000"/>
      <name val="宋体"/>
      <family val="0"/>
      <charset val="1"/>
    </font>
    <font>
      <b val="true"/>
      <sz val="10"/>
      <color rgb="FF000000"/>
      <name val="Noto Sans CJK SC"/>
      <family val="2"/>
    </font>
    <font>
      <b val="true"/>
      <sz val="10"/>
      <color rgb="FF000000"/>
      <name val="宋体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46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7"/>
    <col collapsed="false" customWidth="true" hidden="false" outlineLevel="0" max="8" min="8" style="0" width="20"/>
    <col collapsed="false" customWidth="true" hidden="false" outlineLevel="0" max="9" min="9" style="0" width="9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18"/>
    <col collapsed="false" customWidth="true" hidden="false" outlineLevel="0" max="13" min="13" style="0" width="40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customFormat="false" ht="15" hidden="false" customHeight="false" outlineLevel="0" collapsed="false">
      <c r="A5" s="5" t="n">
        <v>1</v>
      </c>
      <c r="B5" s="5" t="s">
        <v>15</v>
      </c>
      <c r="C5" s="6" t="s">
        <v>16</v>
      </c>
      <c r="D5" s="6" t="s">
        <v>17</v>
      </c>
      <c r="E5" s="5" t="s">
        <v>18</v>
      </c>
      <c r="F5" s="5" t="s">
        <v>19</v>
      </c>
      <c r="G5" s="7" t="s">
        <v>20</v>
      </c>
      <c r="H5" s="7" t="s">
        <v>21</v>
      </c>
      <c r="I5" s="5" t="s">
        <v>22</v>
      </c>
      <c r="J5" s="5"/>
      <c r="K5" s="5"/>
      <c r="L5" s="6" t="s">
        <v>23</v>
      </c>
      <c r="M5" s="6"/>
    </row>
    <row r="6" customFormat="false" ht="15" hidden="false" customHeight="false" outlineLevel="0" collapsed="false">
      <c r="A6" s="5" t="n">
        <v>2</v>
      </c>
      <c r="B6" s="5" t="s">
        <v>24</v>
      </c>
      <c r="C6" s="6" t="s">
        <v>25</v>
      </c>
      <c r="D6" s="6" t="s">
        <v>26</v>
      </c>
      <c r="E6" s="5" t="s">
        <v>27</v>
      </c>
      <c r="F6" s="5" t="s">
        <v>19</v>
      </c>
      <c r="G6" s="7" t="s">
        <v>28</v>
      </c>
      <c r="H6" s="7" t="s">
        <v>21</v>
      </c>
      <c r="I6" s="5" t="s">
        <v>22</v>
      </c>
      <c r="J6" s="5"/>
      <c r="K6" s="5"/>
      <c r="L6" s="6" t="s">
        <v>23</v>
      </c>
      <c r="M6" s="6"/>
    </row>
    <row r="7" customFormat="false" ht="15" hidden="false" customHeight="false" outlineLevel="0" collapsed="false">
      <c r="A7" s="5" t="n">
        <v>3</v>
      </c>
      <c r="B7" s="5" t="s">
        <v>29</v>
      </c>
      <c r="C7" s="6" t="s">
        <v>30</v>
      </c>
      <c r="D7" s="6" t="s">
        <v>31</v>
      </c>
      <c r="E7" s="5" t="s">
        <v>32</v>
      </c>
      <c r="F7" s="5" t="s">
        <v>19</v>
      </c>
      <c r="G7" s="7" t="s">
        <v>28</v>
      </c>
      <c r="H7" s="7" t="s">
        <v>21</v>
      </c>
      <c r="I7" s="5" t="s">
        <v>22</v>
      </c>
      <c r="J7" s="5"/>
      <c r="K7" s="5"/>
      <c r="L7" s="6" t="s">
        <v>23</v>
      </c>
      <c r="M7" s="6"/>
    </row>
    <row r="8" customFormat="false" ht="15" hidden="false" customHeight="false" outlineLevel="0" collapsed="false">
      <c r="A8" s="5" t="n">
        <v>4</v>
      </c>
      <c r="B8" s="5" t="s">
        <v>33</v>
      </c>
      <c r="C8" s="6" t="s">
        <v>34</v>
      </c>
      <c r="D8" s="6" t="s">
        <v>35</v>
      </c>
      <c r="E8" s="5" t="s">
        <v>36</v>
      </c>
      <c r="F8" s="5" t="s">
        <v>19</v>
      </c>
      <c r="G8" s="7" t="s">
        <v>28</v>
      </c>
      <c r="H8" s="7" t="s">
        <v>21</v>
      </c>
      <c r="I8" s="5" t="s">
        <v>22</v>
      </c>
      <c r="J8" s="5"/>
      <c r="K8" s="5"/>
      <c r="L8" s="6" t="s">
        <v>23</v>
      </c>
      <c r="M8" s="6"/>
    </row>
    <row r="9" customFormat="false" ht="29.85" hidden="false" customHeight="false" outlineLevel="0" collapsed="false">
      <c r="A9" s="5" t="n">
        <v>5</v>
      </c>
      <c r="B9" s="5" t="s">
        <v>37</v>
      </c>
      <c r="C9" s="6" t="s">
        <v>38</v>
      </c>
      <c r="D9" s="6" t="s">
        <v>39</v>
      </c>
      <c r="E9" s="5" t="s">
        <v>40</v>
      </c>
      <c r="F9" s="5" t="s">
        <v>19</v>
      </c>
      <c r="G9" s="7" t="s">
        <v>28</v>
      </c>
      <c r="H9" s="7" t="s">
        <v>21</v>
      </c>
      <c r="I9" s="5" t="s">
        <v>22</v>
      </c>
      <c r="J9" s="5"/>
      <c r="K9" s="5"/>
      <c r="L9" s="6" t="s">
        <v>23</v>
      </c>
      <c r="M9" s="7" t="s">
        <v>41</v>
      </c>
    </row>
    <row r="10" customFormat="false" ht="29.85" hidden="false" customHeight="false" outlineLevel="0" collapsed="false">
      <c r="A10" s="5" t="n">
        <v>6</v>
      </c>
      <c r="B10" s="5" t="s">
        <v>42</v>
      </c>
      <c r="C10" s="6" t="s">
        <v>43</v>
      </c>
      <c r="D10" s="6" t="s">
        <v>44</v>
      </c>
      <c r="E10" s="5" t="s">
        <v>45</v>
      </c>
      <c r="F10" s="5" t="s">
        <v>19</v>
      </c>
      <c r="G10" s="7" t="s">
        <v>46</v>
      </c>
      <c r="H10" s="7" t="s">
        <v>21</v>
      </c>
      <c r="I10" s="5" t="s">
        <v>47</v>
      </c>
      <c r="J10" s="5"/>
      <c r="K10" s="5"/>
      <c r="L10" s="6" t="s">
        <v>23</v>
      </c>
      <c r="M10" s="6" t="s">
        <v>48</v>
      </c>
    </row>
    <row r="11" customFormat="false" ht="29.85" hidden="false" customHeight="false" outlineLevel="0" collapsed="false">
      <c r="A11" s="5" t="n">
        <v>7</v>
      </c>
      <c r="B11" s="5" t="s">
        <v>49</v>
      </c>
      <c r="C11" s="6" t="s">
        <v>50</v>
      </c>
      <c r="D11" s="6" t="s">
        <v>51</v>
      </c>
      <c r="E11" s="5" t="s">
        <v>52</v>
      </c>
      <c r="F11" s="5" t="s">
        <v>19</v>
      </c>
      <c r="G11" s="7" t="s">
        <v>28</v>
      </c>
      <c r="H11" s="7" t="s">
        <v>21</v>
      </c>
      <c r="I11" s="5" t="s">
        <v>47</v>
      </c>
      <c r="J11" s="5"/>
      <c r="K11" s="5"/>
      <c r="L11" s="6" t="s">
        <v>23</v>
      </c>
      <c r="M11" s="6"/>
    </row>
    <row r="12" customFormat="false" ht="29.85" hidden="false" customHeight="false" outlineLevel="0" collapsed="false">
      <c r="A12" s="5" t="n">
        <v>8</v>
      </c>
      <c r="B12" s="5" t="s">
        <v>53</v>
      </c>
      <c r="C12" s="6" t="s">
        <v>54</v>
      </c>
      <c r="D12" s="6" t="s">
        <v>55</v>
      </c>
      <c r="E12" s="5" t="s">
        <v>56</v>
      </c>
      <c r="F12" s="5" t="s">
        <v>19</v>
      </c>
      <c r="G12" s="7" t="s">
        <v>28</v>
      </c>
      <c r="H12" s="7" t="s">
        <v>21</v>
      </c>
      <c r="I12" s="5" t="s">
        <v>22</v>
      </c>
      <c r="J12" s="5"/>
      <c r="K12" s="5"/>
      <c r="L12" s="6" t="s">
        <v>23</v>
      </c>
      <c r="M12" s="6" t="s">
        <v>57</v>
      </c>
    </row>
    <row r="13" customFormat="false" ht="29.85" hidden="false" customHeight="false" outlineLevel="0" collapsed="false">
      <c r="A13" s="5" t="n">
        <v>9</v>
      </c>
      <c r="B13" s="5" t="s">
        <v>58</v>
      </c>
      <c r="C13" s="6" t="s">
        <v>59</v>
      </c>
      <c r="D13" s="6" t="s">
        <v>60</v>
      </c>
      <c r="E13" s="5" t="s">
        <v>61</v>
      </c>
      <c r="F13" s="5" t="s">
        <v>19</v>
      </c>
      <c r="G13" s="7" t="s">
        <v>62</v>
      </c>
      <c r="H13" s="7" t="s">
        <v>21</v>
      </c>
      <c r="I13" s="5" t="s">
        <v>22</v>
      </c>
      <c r="J13" s="5"/>
      <c r="K13" s="5"/>
      <c r="L13" s="6" t="s">
        <v>23</v>
      </c>
      <c r="M13" s="6" t="s">
        <v>63</v>
      </c>
    </row>
    <row r="14" customFormat="false" ht="15" hidden="false" customHeight="false" outlineLevel="0" collapsed="false">
      <c r="A14" s="5" t="n">
        <v>10</v>
      </c>
      <c r="B14" s="5" t="s">
        <v>64</v>
      </c>
      <c r="C14" s="6" t="s">
        <v>65</v>
      </c>
      <c r="D14" s="6" t="s">
        <v>66</v>
      </c>
      <c r="E14" s="5" t="s">
        <v>67</v>
      </c>
      <c r="F14" s="5" t="s">
        <v>19</v>
      </c>
      <c r="G14" s="7" t="s">
        <v>46</v>
      </c>
      <c r="H14" s="7" t="s">
        <v>21</v>
      </c>
      <c r="I14" s="5" t="s">
        <v>22</v>
      </c>
      <c r="J14" s="5"/>
      <c r="K14" s="5"/>
      <c r="L14" s="6" t="s">
        <v>23</v>
      </c>
      <c r="M14" s="6" t="s">
        <v>68</v>
      </c>
    </row>
    <row r="15" customFormat="false" ht="29.85" hidden="false" customHeight="false" outlineLevel="0" collapsed="false">
      <c r="A15" s="5" t="n">
        <v>11</v>
      </c>
      <c r="B15" s="5" t="s">
        <v>69</v>
      </c>
      <c r="C15" s="6" t="s">
        <v>70</v>
      </c>
      <c r="D15" s="6" t="s">
        <v>71</v>
      </c>
      <c r="E15" s="5" t="s">
        <v>72</v>
      </c>
      <c r="F15" s="5" t="s">
        <v>73</v>
      </c>
      <c r="G15" s="7" t="s">
        <v>74</v>
      </c>
      <c r="H15" s="6" t="s">
        <v>75</v>
      </c>
      <c r="I15" s="5" t="s">
        <v>47</v>
      </c>
      <c r="J15" s="5"/>
      <c r="K15" s="5"/>
      <c r="L15" s="6" t="s">
        <v>76</v>
      </c>
      <c r="M15" s="6"/>
    </row>
    <row r="16" customFormat="false" ht="29.85" hidden="false" customHeight="false" outlineLevel="0" collapsed="false">
      <c r="A16" s="5" t="n">
        <v>12</v>
      </c>
      <c r="B16" s="5" t="s">
        <v>77</v>
      </c>
      <c r="C16" s="6" t="s">
        <v>78</v>
      </c>
      <c r="D16" s="6" t="s">
        <v>79</v>
      </c>
      <c r="E16" s="5" t="s">
        <v>80</v>
      </c>
      <c r="F16" s="5" t="s">
        <v>73</v>
      </c>
      <c r="G16" s="7" t="s">
        <v>74</v>
      </c>
      <c r="H16" s="6" t="s">
        <v>75</v>
      </c>
      <c r="I16" s="5" t="s">
        <v>47</v>
      </c>
      <c r="J16" s="5"/>
      <c r="K16" s="5"/>
      <c r="L16" s="6" t="s">
        <v>76</v>
      </c>
      <c r="M16" s="6"/>
    </row>
    <row r="17" customFormat="false" ht="29.85" hidden="false" customHeight="false" outlineLevel="0" collapsed="false">
      <c r="A17" s="5" t="n">
        <v>13</v>
      </c>
      <c r="B17" s="5" t="s">
        <v>81</v>
      </c>
      <c r="C17" s="6" t="s">
        <v>82</v>
      </c>
      <c r="D17" s="6" t="s">
        <v>83</v>
      </c>
      <c r="E17" s="5" t="s">
        <v>84</v>
      </c>
      <c r="F17" s="5" t="s">
        <v>73</v>
      </c>
      <c r="G17" s="7" t="s">
        <v>74</v>
      </c>
      <c r="H17" s="6" t="s">
        <v>75</v>
      </c>
      <c r="I17" s="5" t="s">
        <v>85</v>
      </c>
      <c r="J17" s="5"/>
      <c r="K17" s="5"/>
      <c r="L17" s="6" t="s">
        <v>76</v>
      </c>
      <c r="M17" s="6"/>
    </row>
    <row r="18" customFormat="false" ht="29.85" hidden="false" customHeight="false" outlineLevel="0" collapsed="false">
      <c r="A18" s="5" t="n">
        <v>14</v>
      </c>
      <c r="B18" s="5" t="s">
        <v>86</v>
      </c>
      <c r="C18" s="6" t="s">
        <v>87</v>
      </c>
      <c r="D18" s="6" t="s">
        <v>88</v>
      </c>
      <c r="E18" s="5" t="s">
        <v>89</v>
      </c>
      <c r="F18" s="5" t="s">
        <v>73</v>
      </c>
      <c r="G18" s="7" t="s">
        <v>74</v>
      </c>
      <c r="H18" s="6" t="s">
        <v>75</v>
      </c>
      <c r="I18" s="5" t="s">
        <v>90</v>
      </c>
      <c r="J18" s="5"/>
      <c r="K18" s="5"/>
      <c r="L18" s="6" t="s">
        <v>76</v>
      </c>
      <c r="M18" s="6"/>
    </row>
    <row r="19" customFormat="false" ht="44" hidden="false" customHeight="false" outlineLevel="0" collapsed="false">
      <c r="A19" s="5" t="n">
        <v>15</v>
      </c>
      <c r="B19" s="5" t="s">
        <v>91</v>
      </c>
      <c r="C19" s="6" t="s">
        <v>92</v>
      </c>
      <c r="D19" s="6" t="s">
        <v>93</v>
      </c>
      <c r="E19" s="5" t="s">
        <v>94</v>
      </c>
      <c r="F19" s="5" t="s">
        <v>73</v>
      </c>
      <c r="G19" s="7" t="s">
        <v>74</v>
      </c>
      <c r="H19" s="6" t="s">
        <v>75</v>
      </c>
      <c r="I19" s="5" t="s">
        <v>85</v>
      </c>
      <c r="J19" s="5"/>
      <c r="K19" s="5"/>
      <c r="L19" s="6" t="s">
        <v>76</v>
      </c>
      <c r="M19" s="6"/>
    </row>
    <row r="20" customFormat="false" ht="29.85" hidden="false" customHeight="false" outlineLevel="0" collapsed="false">
      <c r="A20" s="5" t="n">
        <v>16</v>
      </c>
      <c r="B20" s="5" t="s">
        <v>95</v>
      </c>
      <c r="C20" s="6" t="s">
        <v>96</v>
      </c>
      <c r="D20" s="6" t="s">
        <v>97</v>
      </c>
      <c r="E20" s="5" t="s">
        <v>98</v>
      </c>
      <c r="F20" s="5" t="s">
        <v>73</v>
      </c>
      <c r="G20" s="7" t="s">
        <v>74</v>
      </c>
      <c r="H20" s="6" t="s">
        <v>75</v>
      </c>
      <c r="I20" s="5" t="s">
        <v>47</v>
      </c>
      <c r="J20" s="5"/>
      <c r="K20" s="5"/>
      <c r="L20" s="6" t="s">
        <v>76</v>
      </c>
      <c r="M20" s="6"/>
    </row>
    <row r="21" customFormat="false" ht="29.85" hidden="false" customHeight="false" outlineLevel="0" collapsed="false">
      <c r="A21" s="5" t="n">
        <v>17</v>
      </c>
      <c r="B21" s="5" t="s">
        <v>99</v>
      </c>
      <c r="C21" s="6" t="s">
        <v>100</v>
      </c>
      <c r="D21" s="6" t="s">
        <v>101</v>
      </c>
      <c r="E21" s="5" t="s">
        <v>102</v>
      </c>
      <c r="F21" s="5" t="s">
        <v>73</v>
      </c>
      <c r="G21" s="7" t="s">
        <v>74</v>
      </c>
      <c r="H21" s="6" t="s">
        <v>75</v>
      </c>
      <c r="I21" s="5" t="s">
        <v>85</v>
      </c>
      <c r="J21" s="5"/>
      <c r="K21" s="5"/>
      <c r="L21" s="6" t="s">
        <v>76</v>
      </c>
      <c r="M21" s="6"/>
    </row>
    <row r="22" customFormat="false" ht="29.85" hidden="false" customHeight="false" outlineLevel="0" collapsed="false">
      <c r="A22" s="5" t="n">
        <v>18</v>
      </c>
      <c r="B22" s="5" t="s">
        <v>103</v>
      </c>
      <c r="C22" s="6" t="s">
        <v>104</v>
      </c>
      <c r="D22" s="6" t="s">
        <v>105</v>
      </c>
      <c r="E22" s="5" t="s">
        <v>106</v>
      </c>
      <c r="F22" s="5" t="s">
        <v>73</v>
      </c>
      <c r="G22" s="7" t="s">
        <v>74</v>
      </c>
      <c r="H22" s="6" t="s">
        <v>75</v>
      </c>
      <c r="I22" s="5" t="s">
        <v>85</v>
      </c>
      <c r="J22" s="5"/>
      <c r="K22" s="5"/>
      <c r="L22" s="6" t="s">
        <v>76</v>
      </c>
      <c r="M22" s="6" t="s">
        <v>107</v>
      </c>
    </row>
    <row r="23" customFormat="false" ht="44" hidden="false" customHeight="false" outlineLevel="0" collapsed="false">
      <c r="A23" s="5" t="n">
        <v>19</v>
      </c>
      <c r="B23" s="5" t="s">
        <v>108</v>
      </c>
      <c r="C23" s="6" t="s">
        <v>109</v>
      </c>
      <c r="D23" s="6" t="s">
        <v>110</v>
      </c>
      <c r="E23" s="5" t="s">
        <v>111</v>
      </c>
      <c r="F23" s="5" t="s">
        <v>73</v>
      </c>
      <c r="G23" s="7" t="s">
        <v>112</v>
      </c>
      <c r="H23" s="6" t="s">
        <v>113</v>
      </c>
      <c r="I23" s="5" t="s">
        <v>47</v>
      </c>
      <c r="J23" s="5"/>
      <c r="K23" s="5"/>
      <c r="L23" s="6" t="s">
        <v>23</v>
      </c>
      <c r="M23" s="6"/>
    </row>
    <row r="24" customFormat="false" ht="29.85" hidden="false" customHeight="false" outlineLevel="0" collapsed="false">
      <c r="A24" s="5" t="n">
        <v>20</v>
      </c>
      <c r="B24" s="5" t="s">
        <v>114</v>
      </c>
      <c r="C24" s="6" t="s">
        <v>115</v>
      </c>
      <c r="D24" s="7" t="s">
        <v>116</v>
      </c>
      <c r="E24" s="5" t="s">
        <v>117</v>
      </c>
      <c r="F24" s="5" t="s">
        <v>73</v>
      </c>
      <c r="G24" s="7" t="s">
        <v>74</v>
      </c>
      <c r="H24" s="6" t="s">
        <v>75</v>
      </c>
      <c r="I24" s="5" t="s">
        <v>22</v>
      </c>
      <c r="J24" s="5"/>
      <c r="K24" s="5"/>
      <c r="L24" s="6" t="s">
        <v>76</v>
      </c>
      <c r="M24" s="6"/>
    </row>
    <row r="25" customFormat="false" ht="29.85" hidden="false" customHeight="false" outlineLevel="0" collapsed="false">
      <c r="A25" s="5" t="n">
        <v>21</v>
      </c>
      <c r="B25" s="5" t="s">
        <v>118</v>
      </c>
      <c r="C25" s="6" t="s">
        <v>119</v>
      </c>
      <c r="D25" s="6" t="s">
        <v>120</v>
      </c>
      <c r="E25" s="5" t="s">
        <v>121</v>
      </c>
      <c r="F25" s="5" t="s">
        <v>73</v>
      </c>
      <c r="G25" s="7" t="s">
        <v>74</v>
      </c>
      <c r="H25" s="6" t="s">
        <v>75</v>
      </c>
      <c r="I25" s="5" t="s">
        <v>47</v>
      </c>
      <c r="J25" s="5"/>
      <c r="K25" s="5"/>
      <c r="L25" s="6" t="s">
        <v>76</v>
      </c>
      <c r="M25" s="6"/>
    </row>
    <row r="26" customFormat="false" ht="29.85" hidden="false" customHeight="false" outlineLevel="0" collapsed="false">
      <c r="A26" s="5" t="n">
        <v>22</v>
      </c>
      <c r="B26" s="5" t="s">
        <v>122</v>
      </c>
      <c r="C26" s="6" t="s">
        <v>123</v>
      </c>
      <c r="D26" s="6" t="s">
        <v>124</v>
      </c>
      <c r="E26" s="5" t="s">
        <v>125</v>
      </c>
      <c r="F26" s="5" t="s">
        <v>19</v>
      </c>
      <c r="G26" s="7" t="s">
        <v>74</v>
      </c>
      <c r="H26" s="7" t="s">
        <v>21</v>
      </c>
      <c r="I26" s="5" t="s">
        <v>126</v>
      </c>
      <c r="J26" s="5"/>
      <c r="K26" s="5"/>
      <c r="L26" s="6" t="s">
        <v>127</v>
      </c>
      <c r="M26" s="6" t="s">
        <v>128</v>
      </c>
    </row>
    <row r="27" customFormat="false" ht="15" hidden="false" customHeight="false" outlineLevel="0" collapsed="false">
      <c r="A27" s="5" t="n">
        <v>23</v>
      </c>
      <c r="B27" s="5" t="s">
        <v>129</v>
      </c>
      <c r="C27" s="6" t="s">
        <v>130</v>
      </c>
      <c r="D27" s="6" t="s">
        <v>131</v>
      </c>
      <c r="E27" s="5" t="s">
        <v>74</v>
      </c>
      <c r="F27" s="5" t="s">
        <v>132</v>
      </c>
      <c r="G27" s="7" t="s">
        <v>74</v>
      </c>
      <c r="H27" s="6" t="s">
        <v>133</v>
      </c>
      <c r="I27" s="5" t="s">
        <v>134</v>
      </c>
      <c r="J27" s="5"/>
      <c r="K27" s="5"/>
      <c r="L27" s="6" t="s">
        <v>135</v>
      </c>
      <c r="M27" s="6" t="s">
        <v>136</v>
      </c>
    </row>
    <row r="28" customFormat="false" ht="15" hidden="false" customHeight="false" outlineLevel="0" collapsed="false">
      <c r="A28" s="5" t="n">
        <v>24</v>
      </c>
      <c r="B28" s="5" t="s">
        <v>137</v>
      </c>
      <c r="C28" s="6" t="s">
        <v>138</v>
      </c>
      <c r="D28" s="6" t="s">
        <v>139</v>
      </c>
      <c r="E28" s="5" t="s">
        <v>74</v>
      </c>
      <c r="F28" s="5" t="s">
        <v>132</v>
      </c>
      <c r="G28" s="7" t="s">
        <v>74</v>
      </c>
      <c r="H28" s="6" t="s">
        <v>133</v>
      </c>
      <c r="I28" s="5" t="s">
        <v>134</v>
      </c>
      <c r="J28" s="5"/>
      <c r="K28" s="5"/>
      <c r="L28" s="6" t="s">
        <v>135</v>
      </c>
      <c r="M28" s="6" t="s">
        <v>140</v>
      </c>
    </row>
    <row r="29" customFormat="false" ht="29.85" hidden="false" customHeight="false" outlineLevel="0" collapsed="false">
      <c r="A29" s="5" t="n">
        <v>25</v>
      </c>
      <c r="B29" s="5" t="s">
        <v>141</v>
      </c>
      <c r="C29" s="6" t="s">
        <v>142</v>
      </c>
      <c r="D29" s="6" t="s">
        <v>143</v>
      </c>
      <c r="E29" s="5" t="s">
        <v>74</v>
      </c>
      <c r="F29" s="5" t="s">
        <v>132</v>
      </c>
      <c r="G29" s="7" t="s">
        <v>74</v>
      </c>
      <c r="H29" s="6" t="s">
        <v>133</v>
      </c>
      <c r="I29" s="5" t="s">
        <v>134</v>
      </c>
      <c r="J29" s="5"/>
      <c r="K29" s="5"/>
      <c r="L29" s="6" t="s">
        <v>135</v>
      </c>
      <c r="M29" s="6" t="s">
        <v>144</v>
      </c>
    </row>
    <row r="30" customFormat="false" ht="15" hidden="false" customHeight="false" outlineLevel="0" collapsed="false">
      <c r="A30" s="5" t="n">
        <v>26</v>
      </c>
      <c r="B30" s="5" t="s">
        <v>145</v>
      </c>
      <c r="C30" s="6" t="s">
        <v>146</v>
      </c>
      <c r="D30" s="6" t="s">
        <v>147</v>
      </c>
      <c r="E30" s="5" t="s">
        <v>74</v>
      </c>
      <c r="F30" s="5" t="s">
        <v>132</v>
      </c>
      <c r="G30" s="7" t="s">
        <v>74</v>
      </c>
      <c r="H30" s="6" t="s">
        <v>133</v>
      </c>
      <c r="I30" s="5" t="s">
        <v>134</v>
      </c>
      <c r="J30" s="5"/>
      <c r="K30" s="5"/>
      <c r="L30" s="6" t="s">
        <v>135</v>
      </c>
      <c r="M30" s="6" t="s">
        <v>148</v>
      </c>
    </row>
    <row r="31" customFormat="false" ht="29.85" hidden="false" customHeight="false" outlineLevel="0" collapsed="false">
      <c r="A31" s="5" t="n">
        <v>27</v>
      </c>
      <c r="B31" s="5" t="s">
        <v>149</v>
      </c>
      <c r="C31" s="6" t="s">
        <v>150</v>
      </c>
      <c r="D31" s="6" t="s">
        <v>151</v>
      </c>
      <c r="E31" s="5" t="s">
        <v>74</v>
      </c>
      <c r="F31" s="5" t="s">
        <v>132</v>
      </c>
      <c r="G31" s="7" t="s">
        <v>74</v>
      </c>
      <c r="H31" s="7" t="s">
        <v>21</v>
      </c>
      <c r="I31" s="5" t="s">
        <v>134</v>
      </c>
      <c r="J31" s="5"/>
      <c r="K31" s="5"/>
      <c r="L31" s="6" t="s">
        <v>152</v>
      </c>
      <c r="M31" s="6" t="s">
        <v>153</v>
      </c>
    </row>
    <row r="32" customFormat="false" ht="29.85" hidden="false" customHeight="false" outlineLevel="0" collapsed="false">
      <c r="A32" s="5" t="n">
        <v>28</v>
      </c>
      <c r="B32" s="5" t="s">
        <v>154</v>
      </c>
      <c r="C32" s="6" t="s">
        <v>155</v>
      </c>
      <c r="D32" s="6" t="s">
        <v>156</v>
      </c>
      <c r="E32" s="5" t="s">
        <v>74</v>
      </c>
      <c r="F32" s="5" t="s">
        <v>132</v>
      </c>
      <c r="G32" s="7" t="s">
        <v>74</v>
      </c>
      <c r="H32" s="6" t="s">
        <v>75</v>
      </c>
      <c r="I32" s="5" t="s">
        <v>134</v>
      </c>
      <c r="J32" s="5"/>
      <c r="K32" s="5"/>
      <c r="L32" s="6" t="s">
        <v>152</v>
      </c>
      <c r="M32" s="6" t="s">
        <v>157</v>
      </c>
    </row>
    <row r="34" customFormat="false" ht="15" hidden="false" customHeight="false" outlineLevel="0" collapsed="false">
      <c r="B34" s="8" t="s">
        <v>158</v>
      </c>
    </row>
    <row r="35" customFormat="false" ht="15" hidden="false" customHeight="true" outlineLevel="0" collapsed="false">
      <c r="B35" s="7" t="s">
        <v>159</v>
      </c>
      <c r="C35" s="7"/>
      <c r="D35" s="7"/>
      <c r="E35" s="5" t="n">
        <f aca="false">COUNTA(B5:B32)</f>
        <v>28</v>
      </c>
    </row>
    <row r="36" customFormat="false" ht="15" hidden="false" customHeight="true" outlineLevel="0" collapsed="false">
      <c r="B36" s="6" t="s">
        <v>160</v>
      </c>
      <c r="C36" s="6"/>
      <c r="D36" s="6"/>
      <c r="E36" s="5" t="n">
        <f aca="false">COUNTIF(L5:L32,"已写入SRS*")</f>
        <v>22</v>
      </c>
    </row>
    <row r="37" customFormat="false" ht="15" hidden="false" customHeight="true" outlineLevel="0" collapsed="false">
      <c r="B37" s="6" t="s">
        <v>161</v>
      </c>
      <c r="C37" s="6"/>
      <c r="D37" s="6"/>
      <c r="E37" s="5" t="n">
        <f aca="false">COUNTIF(L5:L32,"*引入件*")</f>
        <v>10</v>
      </c>
    </row>
    <row r="38" customFormat="false" ht="15" hidden="false" customHeight="true" outlineLevel="0" collapsed="false">
      <c r="B38" s="6" t="s">
        <v>135</v>
      </c>
      <c r="C38" s="6"/>
      <c r="D38" s="6"/>
      <c r="E38" s="5" t="n">
        <f aca="false">COUNTIF(L5:L32,"文档交付*")</f>
        <v>4</v>
      </c>
    </row>
    <row r="39" customFormat="false" ht="15" hidden="false" customHeight="true" outlineLevel="0" collapsed="false">
      <c r="B39" s="6" t="s">
        <v>152</v>
      </c>
      <c r="C39" s="6"/>
      <c r="D39" s="6"/>
      <c r="E39" s="5" t="n">
        <f aca="false">COUNTIF(L5:L32,"待确认")</f>
        <v>2</v>
      </c>
    </row>
    <row r="40" customFormat="false" ht="15" hidden="false" customHeight="true" outlineLevel="0" collapsed="false">
      <c r="B40" s="6" t="s">
        <v>162</v>
      </c>
      <c r="C40" s="6"/>
      <c r="D40" s="6"/>
      <c r="E40" s="5" t="n">
        <f aca="false">COUNTBLANK(J5:J32)</f>
        <v>28</v>
      </c>
    </row>
    <row r="41" customFormat="false" ht="15" hidden="false" customHeight="true" outlineLevel="0" collapsed="false">
      <c r="B41" s="6" t="s">
        <v>163</v>
      </c>
      <c r="C41" s="6"/>
      <c r="D41" s="6"/>
      <c r="E41" s="5" t="n">
        <f aca="false">COUNTBLANK(K5:K32)</f>
        <v>28</v>
      </c>
    </row>
    <row r="42" customFormat="false" ht="15" hidden="false" customHeight="false" outlineLevel="0" collapsed="false">
      <c r="B42" s="2" t="s">
        <v>164</v>
      </c>
    </row>
  </sheetData>
  <autoFilter ref="A4:M32"/>
  <mergeCells count="7">
    <mergeCell ref="B35:D35"/>
    <mergeCell ref="B36:D36"/>
    <mergeCell ref="B37:D37"/>
    <mergeCell ref="B38:D38"/>
    <mergeCell ref="B39:D39"/>
    <mergeCell ref="B40:D40"/>
    <mergeCell ref="B41:D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38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52"/>
  </cols>
  <sheetData>
    <row r="1" customFormat="false" ht="21.6" hidden="false" customHeight="false" outlineLevel="0" collapsed="false">
      <c r="A1" s="9" t="s">
        <v>165</v>
      </c>
    </row>
    <row r="3" customFormat="false" ht="30" hidden="false" customHeight="true" outlineLevel="0" collapsed="false">
      <c r="A3" s="3" t="s">
        <v>2</v>
      </c>
      <c r="B3" s="4" t="s">
        <v>166</v>
      </c>
      <c r="C3" s="4" t="s">
        <v>7</v>
      </c>
      <c r="D3" s="3" t="s">
        <v>167</v>
      </c>
      <c r="E3" s="3" t="s">
        <v>168</v>
      </c>
      <c r="F3" s="3" t="s">
        <v>169</v>
      </c>
      <c r="G3" s="3" t="s">
        <v>11</v>
      </c>
      <c r="H3" s="3" t="s">
        <v>170</v>
      </c>
    </row>
    <row r="4" customFormat="false" ht="15" hidden="false" customHeight="false" outlineLevel="0" collapsed="false">
      <c r="A4" s="5" t="n">
        <v>1</v>
      </c>
      <c r="B4" s="5" t="s">
        <v>171</v>
      </c>
      <c r="C4" s="5" t="s">
        <v>172</v>
      </c>
      <c r="D4" s="6" t="s">
        <v>173</v>
      </c>
      <c r="E4" s="7" t="s">
        <v>174</v>
      </c>
      <c r="F4" s="10" t="s">
        <v>175</v>
      </c>
      <c r="G4" s="6"/>
      <c r="H4" s="6"/>
    </row>
    <row r="5" customFormat="false" ht="15" hidden="false" customHeight="false" outlineLevel="0" collapsed="false">
      <c r="A5" s="10" t="n">
        <v>2</v>
      </c>
      <c r="B5" s="5" t="s">
        <v>20</v>
      </c>
      <c r="C5" s="5" t="s">
        <v>176</v>
      </c>
      <c r="D5" s="6" t="s">
        <v>177</v>
      </c>
      <c r="E5" s="7" t="s">
        <v>178</v>
      </c>
      <c r="F5" s="10" t="s">
        <v>179</v>
      </c>
      <c r="G5" s="6"/>
      <c r="H5" s="6"/>
    </row>
    <row r="6" customFormat="false" ht="15" hidden="false" customHeight="false" outlineLevel="0" collapsed="false">
      <c r="A6" s="10" t="n">
        <v>3</v>
      </c>
      <c r="B6" s="5" t="s">
        <v>28</v>
      </c>
      <c r="C6" s="5" t="s">
        <v>180</v>
      </c>
      <c r="D6" s="6" t="s">
        <v>181</v>
      </c>
      <c r="E6" s="7" t="s">
        <v>182</v>
      </c>
      <c r="F6" s="10" t="s">
        <v>179</v>
      </c>
      <c r="G6" s="6"/>
      <c r="H6" s="6"/>
    </row>
    <row r="7" customFormat="false" ht="15" hidden="false" customHeight="false" outlineLevel="0" collapsed="false">
      <c r="A7" s="10" t="n">
        <v>4</v>
      </c>
      <c r="B7" s="5" t="s">
        <v>183</v>
      </c>
      <c r="C7" s="5" t="s">
        <v>19</v>
      </c>
      <c r="D7" s="6" t="s">
        <v>184</v>
      </c>
      <c r="E7" s="7" t="s">
        <v>185</v>
      </c>
      <c r="F7" s="10" t="s">
        <v>179</v>
      </c>
      <c r="G7" s="6"/>
      <c r="H7" s="7" t="s">
        <v>186</v>
      </c>
    </row>
    <row r="8" customFormat="false" ht="29.85" hidden="false" customHeight="false" outlineLevel="0" collapsed="false">
      <c r="A8" s="10" t="n">
        <v>5</v>
      </c>
      <c r="B8" s="5" t="s">
        <v>112</v>
      </c>
      <c r="C8" s="5" t="s">
        <v>73</v>
      </c>
      <c r="D8" s="6" t="s">
        <v>187</v>
      </c>
      <c r="E8" s="7" t="s">
        <v>188</v>
      </c>
      <c r="F8" s="10" t="s">
        <v>179</v>
      </c>
      <c r="G8" s="6"/>
      <c r="H8" s="7" t="s">
        <v>189</v>
      </c>
    </row>
    <row r="9" customFormat="false" ht="15" hidden="false" customHeight="false" outlineLevel="0" collapsed="false">
      <c r="A9" s="10" t="n">
        <v>6</v>
      </c>
      <c r="B9" s="5" t="s">
        <v>46</v>
      </c>
      <c r="C9" s="5" t="s">
        <v>190</v>
      </c>
      <c r="D9" s="6" t="s">
        <v>191</v>
      </c>
      <c r="E9" s="7" t="s">
        <v>192</v>
      </c>
      <c r="F9" s="10" t="s">
        <v>179</v>
      </c>
      <c r="G9" s="6"/>
      <c r="H9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193</v>
      </c>
    </row>
    <row r="3" customFormat="false" ht="15" hidden="false" customHeight="false" outlineLevel="0" collapsed="false">
      <c r="A3" s="3" t="s">
        <v>194</v>
      </c>
      <c r="B3" s="6" t="s">
        <v>195</v>
      </c>
    </row>
    <row r="4" customFormat="false" ht="29.85" hidden="false" customHeight="false" outlineLevel="0" collapsed="false">
      <c r="A4" s="4" t="s">
        <v>3</v>
      </c>
      <c r="B4" s="7" t="s">
        <v>196</v>
      </c>
    </row>
    <row r="5" customFormat="false" ht="29.85" hidden="false" customHeight="false" outlineLevel="0" collapsed="false">
      <c r="A5" s="4" t="s">
        <v>197</v>
      </c>
      <c r="B5" s="7" t="s">
        <v>198</v>
      </c>
    </row>
    <row r="6" customFormat="false" ht="15" hidden="false" customHeight="false" outlineLevel="0" collapsed="false">
      <c r="A6" s="3" t="s">
        <v>10</v>
      </c>
      <c r="B6" s="7" t="s">
        <v>199</v>
      </c>
    </row>
    <row r="7" customFormat="false" ht="29.85" hidden="false" customHeight="false" outlineLevel="0" collapsed="false">
      <c r="A7" s="3" t="s">
        <v>9</v>
      </c>
      <c r="B7" s="7" t="s">
        <v>200</v>
      </c>
    </row>
    <row r="8" customFormat="false" ht="15" hidden="false" customHeight="false" outlineLevel="0" collapsed="false">
      <c r="A8" s="3" t="s">
        <v>13</v>
      </c>
      <c r="B8" s="6" t="s">
        <v>201</v>
      </c>
    </row>
    <row r="9" customFormat="false" ht="15" hidden="false" customHeight="false" outlineLevel="0" collapsed="false">
      <c r="A9" s="3" t="s">
        <v>202</v>
      </c>
      <c r="B9" s="6" t="s">
        <v>203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2026-10-12T07:14:17Z</dcterms:created>
  <dc:creator>openpyxl</dc:creator>
  <dc:description/>
  <dc:language>en-US</dc:language>
  <cp:lastModifiedBy/>
  <dcterms:modified xsi:type="dcterms:W3CDTF">2026-10-12T07:14:17Z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