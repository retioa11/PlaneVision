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jb5000B-2\Workspace\编写结果\"/>
    </mc:Choice>
  </mc:AlternateContent>
  <xr:revisionPtr revIDLastSave="0" documentId="13_ncr:1_{A42B4CFF-BB66-4A6D-AF8B-306FF19FAD0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追踪矩阵" sheetId="1" r:id="rId1"/>
    <sheet name="CSCI需求→V1.2" sheetId="2" r:id="rId2"/>
    <sheet name="说明" sheetId="3" r:id="rId3"/>
  </sheets>
  <definedNames>
    <definedName name="_xlnm._FilterDatabase" localSheetId="0" hidden="1">追踪矩阵!$A$4:$L$32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</calcChain>
</file>

<file path=xl/sharedStrings.xml><?xml version="1.0" encoding="utf-8"?>
<sst xmlns="http://schemas.openxmlformats.org/spreadsheetml/2006/main" count="331" uniqueCount="190">
  <si>
    <r>
      <rPr>
        <b/>
        <sz val="14"/>
        <color rgb="FF000000"/>
        <rFont val="Noto Sans CJK SC"/>
        <family val="2"/>
      </rPr>
      <t>需求双向追踪矩阵（技术要求</t>
    </r>
    <r>
      <rPr>
        <b/>
        <sz val="14"/>
        <color rgb="FF000000"/>
        <rFont val="宋体"/>
        <family val="3"/>
        <charset val="134"/>
      </rPr>
      <t xml:space="preserve">V1.2 ↔ </t>
    </r>
    <r>
      <rPr>
        <b/>
        <sz val="14"/>
        <color rgb="FF000000"/>
        <rFont val="Noto Sans CJK SC"/>
        <family val="2"/>
      </rPr>
      <t>软件需求规格说明</t>
    </r>
    <r>
      <rPr>
        <b/>
        <sz val="14"/>
        <color rgb="FF000000"/>
        <rFont val="宋体"/>
        <family val="3"/>
        <charset val="134"/>
      </rPr>
      <t xml:space="preserve">V1.1 ↔ </t>
    </r>
    <r>
      <rPr>
        <b/>
        <sz val="14"/>
        <color rgb="FF000000"/>
        <rFont val="Noto Sans CJK SC"/>
        <family val="2"/>
      </rPr>
      <t>设计 ↔ 测试）</t>
    </r>
  </si>
  <si>
    <r>
      <rPr>
        <sz val="10"/>
        <color rgb="FF000000"/>
        <rFont val="Noto Sans CJK SC"/>
        <family val="2"/>
      </rPr>
      <t>“设计说明章节”“验收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测试用例”两列待《软件设计说明》《软件验收大纲》《单元测试说明》编写后补充；“待确认事项”列凡有内容的均需人工确认。</t>
    </r>
  </si>
  <si>
    <t>序号</t>
  </si>
  <si>
    <r>
      <rPr>
        <b/>
        <sz val="10"/>
        <color rgb="FF000000"/>
        <rFont val="宋体"/>
        <family val="3"/>
        <charset val="134"/>
      </rPr>
      <t>V1.2</t>
    </r>
    <r>
      <rPr>
        <b/>
        <sz val="10"/>
        <color rgb="FF000000"/>
        <rFont val="Noto Sans CJK SC"/>
        <family val="2"/>
      </rPr>
      <t>条款编号</t>
    </r>
  </si>
  <si>
    <r>
      <rPr>
        <b/>
        <sz val="10"/>
        <color rgb="FF000000"/>
        <rFont val="宋体"/>
        <family val="3"/>
        <charset val="134"/>
      </rPr>
      <t>V1.2</t>
    </r>
    <r>
      <rPr>
        <b/>
        <sz val="10"/>
        <color rgb="FF000000"/>
        <rFont val="Noto Sans CJK SC"/>
        <family val="2"/>
      </rPr>
      <t>条款位置</t>
    </r>
  </si>
  <si>
    <r>
      <rPr>
        <b/>
        <sz val="10"/>
        <color rgb="FF000000"/>
        <rFont val="宋体"/>
        <family val="3"/>
        <charset val="134"/>
      </rPr>
      <t>V1.2</t>
    </r>
    <r>
      <rPr>
        <b/>
        <sz val="10"/>
        <color rgb="FF000000"/>
        <rFont val="Noto Sans CJK SC"/>
        <family val="2"/>
      </rPr>
      <t>条款原文</t>
    </r>
  </si>
  <si>
    <r>
      <rPr>
        <b/>
        <sz val="10"/>
        <color rgb="FF000000"/>
        <rFont val="宋体"/>
        <family val="3"/>
        <charset val="134"/>
      </rPr>
      <t>SRS</t>
    </r>
    <r>
      <rPr>
        <b/>
        <sz val="10"/>
        <color rgb="FF000000"/>
        <rFont val="Noto Sans CJK SC"/>
        <family val="2"/>
      </rPr>
      <t>需求项</t>
    </r>
  </si>
  <si>
    <r>
      <rPr>
        <b/>
        <sz val="10"/>
        <color rgb="FF000000"/>
        <rFont val="宋体"/>
        <family val="3"/>
        <charset val="134"/>
      </rPr>
      <t>SRS</t>
    </r>
    <r>
      <rPr>
        <b/>
        <sz val="10"/>
        <color rgb="FF000000"/>
        <rFont val="Noto Sans CJK SC"/>
        <family val="2"/>
      </rPr>
      <t>章节</t>
    </r>
  </si>
  <si>
    <t>对应能力需求</t>
  </si>
  <si>
    <t>实现方式</t>
  </si>
  <si>
    <t>合格性方法</t>
  </si>
  <si>
    <t>设计说明章节</t>
  </si>
  <si>
    <r>
      <rPr>
        <b/>
        <sz val="10"/>
        <color rgb="FF000000"/>
        <rFont val="Noto Sans CJK SC"/>
        <family val="2"/>
      </rPr>
      <t>验收</t>
    </r>
    <r>
      <rPr>
        <b/>
        <sz val="10"/>
        <color rgb="FF000000"/>
        <rFont val="宋体"/>
        <family val="3"/>
        <charset val="134"/>
      </rPr>
      <t>/</t>
    </r>
    <r>
      <rPr>
        <b/>
        <sz val="10"/>
        <color rgb="FF000000"/>
        <rFont val="Noto Sans CJK SC"/>
        <family val="2"/>
      </rPr>
      <t>测试用例</t>
    </r>
  </si>
  <si>
    <t>覆盖状态</t>
  </si>
  <si>
    <t>TR-CD-F1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</si>
  <si>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(1)</t>
    </r>
  </si>
  <si>
    <t>支持异源影像实时匹配</t>
  </si>
  <si>
    <t>C-CD-F01</t>
  </si>
  <si>
    <t>3.2.4</t>
  </si>
  <si>
    <t>C-FUNC-02</t>
  </si>
  <si>
    <r>
      <rPr>
        <sz val="10"/>
        <color rgb="FF000000"/>
        <rFont val="宋体"/>
        <family val="3"/>
        <charset val="134"/>
      </rPr>
      <t>ChangeDetect</t>
    </r>
    <r>
      <rPr>
        <sz val="10"/>
        <color rgb="FF000000"/>
        <rFont val="Noto Sans CJK SC"/>
        <family val="2"/>
      </rPr>
      <t>自研</t>
    </r>
  </si>
  <si>
    <t>T</t>
  </si>
  <si>
    <r>
      <rPr>
        <sz val="10"/>
        <color rgb="FF000000"/>
        <rFont val="Noto Sans CJK SC"/>
        <family val="2"/>
      </rPr>
      <t>已写入</t>
    </r>
    <r>
      <rPr>
        <sz val="10"/>
        <color rgb="FF000000"/>
        <rFont val="宋体"/>
        <family val="3"/>
        <charset val="134"/>
      </rPr>
      <t>SRS</t>
    </r>
  </si>
  <si>
    <t>TR-CD-F2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</si>
  <si>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(2)</t>
    </r>
  </si>
  <si>
    <t>能实时判断特定区域内的地物是否发生改变</t>
  </si>
  <si>
    <t>C-CD-F02</t>
  </si>
  <si>
    <t>C-FUNC-03</t>
  </si>
  <si>
    <t>TR-CD-F3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</si>
  <si>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(3)</t>
    </r>
  </si>
  <si>
    <t>精确定位发生变化的具体地理位置和范围</t>
  </si>
  <si>
    <t>C-CD-F03</t>
  </si>
  <si>
    <t>TR-CD-F4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</si>
  <si>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(4)</t>
    </r>
  </si>
  <si>
    <t>能够区分变化的类型</t>
  </si>
  <si>
    <t>C-CD-F04</t>
  </si>
  <si>
    <t>TR-CD-F5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</si>
  <si>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(5)</t>
    </r>
  </si>
  <si>
    <t>与原有数字底图进行对比，根据变化部分的情况，给出变化部分的目指信息，包含变化区域，区域图像等</t>
  </si>
  <si>
    <t>C-CD-F05</t>
  </si>
  <si>
    <t>TR-CD-F6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</si>
  <si>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(6)</t>
    </r>
  </si>
  <si>
    <t>能够提取关键战场环境信息特征，近实时将变化区域叠加至车载地理信息系统</t>
  </si>
  <si>
    <t>C-CD-F06</t>
  </si>
  <si>
    <t>C-FUNC-06</t>
  </si>
  <si>
    <r>
      <rPr>
        <sz val="10"/>
        <color rgb="FF000000"/>
        <rFont val="宋体"/>
        <family val="3"/>
        <charset val="134"/>
      </rPr>
      <t>D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</t>
    </r>
  </si>
  <si>
    <t>TR-CD-P1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</si>
  <si>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(1)</t>
    </r>
  </si>
  <si>
    <r>
      <rPr>
        <sz val="10"/>
        <color rgb="FF000000"/>
        <rFont val="Noto Sans CJK SC"/>
        <family val="2"/>
      </rPr>
      <t>环境变化检测类型不低于</t>
    </r>
    <r>
      <rPr>
        <sz val="10"/>
        <color rgb="FF000000"/>
        <rFont val="宋体"/>
        <family val="3"/>
        <charset val="134"/>
      </rPr>
      <t>2</t>
    </r>
    <r>
      <rPr>
        <sz val="10"/>
        <color rgb="FF000000"/>
        <rFont val="Noto Sans CJK SC"/>
        <family val="2"/>
      </rPr>
      <t>类（建筑、道路），可后期扩展</t>
    </r>
  </si>
  <si>
    <t>C-CD-P01</t>
  </si>
  <si>
    <t>TR-CD-P2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</si>
  <si>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(2)</t>
    </r>
  </si>
  <si>
    <r>
      <rPr>
        <sz val="10"/>
        <color rgb="FF000000"/>
        <rFont val="Noto Sans CJK SC"/>
        <family val="2"/>
      </rPr>
      <t>针对特定区域进行地物环境变化检测，检测准确率不低于</t>
    </r>
    <r>
      <rPr>
        <sz val="10"/>
        <color rgb="FF000000"/>
        <rFont val="宋体"/>
        <family val="3"/>
        <charset val="134"/>
      </rPr>
      <t>70%</t>
    </r>
  </si>
  <si>
    <t>C-CD-P02</t>
  </si>
  <si>
    <t>TR-CD-P3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</si>
  <si>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(3)</t>
    </r>
  </si>
  <si>
    <r>
      <rPr>
        <sz val="10"/>
        <color rgb="FF000000"/>
        <rFont val="Noto Sans CJK SC"/>
        <family val="2"/>
      </rPr>
      <t>针对单帧</t>
    </r>
    <r>
      <rPr>
        <sz val="10"/>
        <color rgb="FF000000"/>
        <rFont val="宋体"/>
        <family val="3"/>
        <charset val="134"/>
      </rPr>
      <t>800*800</t>
    </r>
    <r>
      <rPr>
        <sz val="10"/>
        <color rgb="FF000000"/>
        <rFont val="Noto Sans CJK SC"/>
        <family val="2"/>
      </rPr>
      <t>像素的图像，环境变化检测处理时间不大于</t>
    </r>
    <r>
      <rPr>
        <sz val="10"/>
        <color rgb="FF000000"/>
        <rFont val="宋体"/>
        <family val="3"/>
        <charset val="134"/>
      </rPr>
      <t>3s</t>
    </r>
  </si>
  <si>
    <t>C-CD-P03</t>
  </si>
  <si>
    <r>
      <rPr>
        <sz val="10"/>
        <color rgb="FF000000"/>
        <rFont val="宋体"/>
        <family val="3"/>
        <charset val="134"/>
      </rPr>
      <t>C-FUNC-02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C-FUNC-03</t>
    </r>
  </si>
  <si>
    <t>TR-CD-P4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</si>
  <si>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环境变化检测</t>
    </r>
    <r>
      <rPr>
        <sz val="10"/>
        <color rgb="FF000000"/>
        <rFont val="宋体"/>
        <family val="3"/>
        <charset val="134"/>
      </rPr>
      <t>(4)</t>
    </r>
  </si>
  <si>
    <r>
      <rPr>
        <sz val="10"/>
        <color rgb="FF000000"/>
        <rFont val="Noto Sans CJK SC"/>
        <family val="2"/>
      </rPr>
      <t>单帧处理成果分发至态势系统展示时间不大于</t>
    </r>
    <r>
      <rPr>
        <sz val="10"/>
        <color rgb="FF000000"/>
        <rFont val="宋体"/>
        <family val="3"/>
        <charset val="134"/>
      </rPr>
      <t>3s</t>
    </r>
  </si>
  <si>
    <t>C-CD-P04</t>
  </si>
  <si>
    <t>TR-RC-F1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</si>
  <si>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(1)</t>
    </r>
  </si>
  <si>
    <t>支持实时传输链路如无人机图传链路，在无公网环境中可实时建模</t>
  </si>
  <si>
    <t>C-RC-F01</t>
  </si>
  <si>
    <t>3.2.5</t>
  </si>
  <si>
    <t>—</t>
  </si>
  <si>
    <t>重建软件（外部引入）</t>
  </si>
  <si>
    <r>
      <rPr>
        <sz val="10"/>
        <color rgb="FF000000"/>
        <rFont val="Noto Sans CJK SC"/>
        <family val="2"/>
      </rPr>
      <t>已写入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（引入件）</t>
    </r>
  </si>
  <si>
    <t>TR-RC-F2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</si>
  <si>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(2)</t>
    </r>
  </si>
  <si>
    <t>建模全自动化处理，无人工参数设置干预，自启重建算法</t>
  </si>
  <si>
    <t>C-RC-F02</t>
  </si>
  <si>
    <t>TR-RC-F3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</si>
  <si>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(3)</t>
    </r>
  </si>
  <si>
    <t>支持正射影像快拼，重建过程中实时显示快拼影像图</t>
  </si>
  <si>
    <t>C-RC-F03</t>
  </si>
  <si>
    <t>D</t>
  </si>
  <si>
    <t>TR-RC-F4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</si>
  <si>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(4)</t>
    </r>
  </si>
  <si>
    <t>支持输出建模报告，包含但不限于模型面积、模型地物分辨率、建模时间等信息</t>
  </si>
  <si>
    <t>C-RC-F04</t>
  </si>
  <si>
    <r>
      <rPr>
        <sz val="10"/>
        <color rgb="FF000000"/>
        <rFont val="宋体"/>
        <family val="3"/>
        <charset val="134"/>
      </rPr>
      <t>D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Z</t>
    </r>
  </si>
  <si>
    <t>TR-RC-F5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</si>
  <si>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(5)</t>
    </r>
  </si>
  <si>
    <r>
      <rPr>
        <sz val="10"/>
        <color rgb="FF000000"/>
        <rFont val="Noto Sans CJK SC"/>
        <family val="2"/>
      </rPr>
      <t>实时建模、快速建模的工程状态可实时显示在界面，包含不限于工程状态、无人机连接状态、</t>
    </r>
    <r>
      <rPr>
        <sz val="10"/>
        <color rgb="FF000000"/>
        <rFont val="宋体"/>
        <family val="3"/>
        <charset val="134"/>
      </rPr>
      <t>RTK</t>
    </r>
    <r>
      <rPr>
        <sz val="10"/>
        <color rgb="FF000000"/>
        <rFont val="Noto Sans CJK SC"/>
        <family val="2"/>
      </rPr>
      <t>连接状态、图传数据状态、实时空三处理状态、重建状态、成果状态等</t>
    </r>
  </si>
  <si>
    <t>C-RC-F05</t>
  </si>
  <si>
    <t>TR-RC-F6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</si>
  <si>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(6)</t>
    </r>
  </si>
  <si>
    <t>量测分析功能：对可视化界面数据进行高度、长度、面积测量</t>
  </si>
  <si>
    <t>C-RC-F06</t>
  </si>
  <si>
    <t>TR-RC-F7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</si>
  <si>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(7)</t>
    </r>
  </si>
  <si>
    <t>智能标绘功能：对实景三维模型可智能标绘（点、线、面、水面）及设置属性信息，支持标绘数据导出</t>
  </si>
  <si>
    <t>C-RC-F07</t>
  </si>
  <si>
    <t>TR-RC-F8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</si>
  <si>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(8)</t>
    </r>
  </si>
  <si>
    <t>生成的地图模型能够支持无人车路径规划和路径规划模型训练</t>
  </si>
  <si>
    <t>C-RC-F08</t>
  </si>
  <si>
    <t>TR-RC-F9</t>
  </si>
  <si>
    <r>
      <rPr>
        <sz val="10"/>
        <color rgb="FF000000"/>
        <rFont val="Noto Sans CJK SC"/>
        <family val="2"/>
      </rPr>
      <t>功能指标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(9)</t>
    </r>
  </si>
  <si>
    <r>
      <rPr>
        <sz val="10"/>
        <color rgb="FF000000"/>
        <rFont val="Noto Sans CJK SC"/>
        <family val="2"/>
      </rPr>
      <t>生成的二三维环境图层能够接入现有的数字地球（包括但不限于接入</t>
    </r>
    <r>
      <rPr>
        <sz val="10"/>
        <color rgb="FF000000"/>
        <rFont val="宋体"/>
        <family val="3"/>
        <charset val="134"/>
      </rPr>
      <t>GeoTIFF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宋体"/>
        <family val="3"/>
        <charset val="134"/>
      </rPr>
      <t>OSGB</t>
    </r>
    <r>
      <rPr>
        <sz val="10"/>
        <color rgb="FF000000"/>
        <rFont val="Noto Sans CJK SC"/>
        <family val="2"/>
      </rPr>
      <t>格式）</t>
    </r>
  </si>
  <si>
    <t>C-RC-F09</t>
  </si>
  <si>
    <t>C-FUNC-05</t>
  </si>
  <si>
    <r>
      <rPr>
        <sz val="10"/>
        <color rgb="FF000000"/>
        <rFont val="Noto Sans CJK SC"/>
        <family val="2"/>
      </rPr>
      <t>重建软件输出；</t>
    </r>
    <r>
      <rPr>
        <sz val="10"/>
        <color rgb="FF000000"/>
        <rFont val="宋体"/>
        <family val="3"/>
        <charset val="134"/>
      </rPr>
      <t>ChangeDetect</t>
    </r>
    <r>
      <rPr>
        <sz val="10"/>
        <color rgb="FF000000"/>
        <rFont val="Noto Sans CJK SC"/>
        <family val="2"/>
      </rPr>
      <t>接入加载</t>
    </r>
  </si>
  <si>
    <t>TR-RC-P1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</si>
  <si>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(1)</t>
    </r>
  </si>
  <si>
    <r>
      <rPr>
        <sz val="10"/>
        <color rgb="FF000000"/>
        <rFont val="宋体"/>
        <family val="3"/>
        <charset val="134"/>
      </rPr>
      <t>400m*500m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宋体"/>
        <family val="3"/>
        <charset val="134"/>
      </rPr>
      <t>0.2</t>
    </r>
    <r>
      <rPr>
        <sz val="10"/>
        <color rgb="FF000000"/>
        <rFont val="Noto Sans CJK SC"/>
        <family val="2"/>
      </rPr>
      <t>平方公里）场景的三维重建时间不大于</t>
    </r>
    <r>
      <rPr>
        <sz val="10"/>
        <color rgb="FF000000"/>
        <rFont val="宋体"/>
        <family val="3"/>
        <charset val="134"/>
      </rPr>
      <t>15</t>
    </r>
    <r>
      <rPr>
        <sz val="10"/>
        <color rgb="FF000000"/>
        <rFont val="Noto Sans CJK SC"/>
        <family val="2"/>
      </rPr>
      <t>分钟</t>
    </r>
  </si>
  <si>
    <t>C-RC-P01</t>
  </si>
  <si>
    <t>TR-RC-P2</t>
  </si>
  <si>
    <r>
      <rPr>
        <sz val="10"/>
        <color rgb="FF000000"/>
        <rFont val="Noto Sans CJK SC"/>
        <family val="2"/>
      </rPr>
      <t>性能指标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二三维场景重建</t>
    </r>
    <r>
      <rPr>
        <sz val="10"/>
        <color rgb="FF000000"/>
        <rFont val="宋体"/>
        <family val="3"/>
        <charset val="134"/>
      </rPr>
      <t>(2)</t>
    </r>
  </si>
  <si>
    <r>
      <rPr>
        <sz val="10"/>
        <color rgb="FF000000"/>
        <rFont val="Noto Sans CJK SC"/>
        <family val="2"/>
      </rPr>
      <t>支持实时建模、快速建模两种建模方式，快速重建支持不少于</t>
    </r>
    <r>
      <rPr>
        <sz val="10"/>
        <color rgb="FF000000"/>
        <rFont val="宋体"/>
        <family val="3"/>
        <charset val="134"/>
      </rPr>
      <t>2</t>
    </r>
    <r>
      <rPr>
        <sz val="10"/>
        <color rgb="FF000000"/>
        <rFont val="Noto Sans CJK SC"/>
        <family val="2"/>
      </rPr>
      <t>种重建算法，包括高效率重建、高质量重建</t>
    </r>
  </si>
  <si>
    <t>C-RC-P02</t>
  </si>
  <si>
    <t>TR-OT-1</t>
  </si>
  <si>
    <r>
      <rPr>
        <sz val="10"/>
        <color rgb="FF000000"/>
        <rFont val="Noto Sans CJK SC"/>
        <family val="2"/>
      </rPr>
      <t>其他要求</t>
    </r>
    <r>
      <rPr>
        <sz val="10"/>
        <color rgb="FF000000"/>
        <rFont val="宋体"/>
        <family val="3"/>
        <charset val="134"/>
      </rPr>
      <t>(1)</t>
    </r>
  </si>
  <si>
    <t>支持跨平台部署，环境变化检测模块支持国产化和非国产化硬件部署</t>
  </si>
  <si>
    <t>C-CD-O01</t>
  </si>
  <si>
    <r>
      <rPr>
        <sz val="10"/>
        <color rgb="FF000000"/>
        <rFont val="宋体"/>
        <family val="3"/>
        <charset val="134"/>
      </rPr>
      <t>Z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</t>
    </r>
  </si>
  <si>
    <r>
      <rPr>
        <sz val="10"/>
        <color rgb="FF000000"/>
        <rFont val="Noto Sans CJK SC"/>
        <family val="2"/>
      </rPr>
      <t>已写入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，现有环境需求未覆盖</t>
    </r>
  </si>
  <si>
    <t>TR-DL-1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</si>
  <si>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(1)</t>
    </r>
  </si>
  <si>
    <r>
      <rPr>
        <sz val="10"/>
        <color rgb="FF000000"/>
        <rFont val="Noto Sans CJK SC"/>
        <family val="2"/>
      </rPr>
      <t>需求规格说明书（</t>
    </r>
    <r>
      <rPr>
        <sz val="10"/>
        <color rgb="FF000000"/>
        <rFont val="宋体"/>
        <family val="3"/>
        <charset val="134"/>
      </rPr>
      <t>GJB438C-2023</t>
    </r>
    <r>
      <rPr>
        <sz val="10"/>
        <color rgb="FF000000"/>
        <rFont val="Noto Sans CJK SC"/>
        <family val="2"/>
      </rPr>
      <t>）</t>
    </r>
  </si>
  <si>
    <t>3.16</t>
  </si>
  <si>
    <t>文档交付</t>
  </si>
  <si>
    <t>Z</t>
  </si>
  <si>
    <t>文档交付（待编写）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</si>
  <si>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(2)</t>
    </r>
  </si>
  <si>
    <r>
      <rPr>
        <sz val="10"/>
        <color rgb="FF000000"/>
        <rFont val="Noto Sans CJK SC"/>
        <family val="2"/>
      </rPr>
      <t>详细设计说明书（</t>
    </r>
    <r>
      <rPr>
        <sz val="10"/>
        <color rgb="FF000000"/>
        <rFont val="宋体"/>
        <family val="3"/>
        <charset val="134"/>
      </rPr>
      <t>GJB438C-2023</t>
    </r>
    <r>
      <rPr>
        <sz val="10"/>
        <color rgb="FF000000"/>
        <rFont val="Noto Sans CJK SC"/>
        <family val="2"/>
      </rPr>
      <t>）</t>
    </r>
  </si>
  <si>
    <t>TR-DL-3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</si>
  <si>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(3)</t>
    </r>
  </si>
  <si>
    <t>测试大纲、测试用例、测试报告</t>
  </si>
  <si>
    <t>TR-DL-4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</si>
  <si>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(4)</t>
    </r>
  </si>
  <si>
    <t>使用和维护说明书</t>
  </si>
  <si>
    <t>TR-DL-5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</si>
  <si>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(5)</t>
    </r>
  </si>
  <si>
    <r>
      <rPr>
        <sz val="10"/>
        <color rgb="FF000000"/>
        <rFont val="Noto Sans CJK SC"/>
        <family val="2"/>
      </rPr>
      <t>环境变化检测软件</t>
    </r>
    <r>
      <rPr>
        <sz val="10"/>
        <color rgb="FF000000"/>
        <rFont val="宋体"/>
        <family val="3"/>
        <charset val="134"/>
      </rPr>
      <t>1</t>
    </r>
    <r>
      <rPr>
        <sz val="10"/>
        <color rgb="FF000000"/>
        <rFont val="Noto Sans CJK SC"/>
        <family val="2"/>
      </rPr>
      <t>套，源码</t>
    </r>
    <r>
      <rPr>
        <sz val="10"/>
        <color rgb="FF000000"/>
        <rFont val="宋体"/>
        <family val="3"/>
        <charset val="134"/>
      </rPr>
      <t>1</t>
    </r>
    <r>
      <rPr>
        <sz val="10"/>
        <color rgb="FF000000"/>
        <rFont val="Noto Sans CJK SC"/>
        <family val="2"/>
      </rPr>
      <t>套，能够协助甲方完成实验室和实装部署</t>
    </r>
  </si>
  <si>
    <t>待确认</t>
  </si>
  <si>
    <t>TR-DL-6</t>
  </si>
  <si>
    <r>
      <rPr>
        <sz val="10"/>
        <color rgb="FF000000"/>
        <rFont val="Noto Sans CJK SC"/>
        <family val="2"/>
      </rPr>
      <t>交付内容</t>
    </r>
    <r>
      <rPr>
        <sz val="10"/>
        <color rgb="FF000000"/>
        <rFont val="宋体"/>
        <family val="3"/>
        <charset val="134"/>
      </rPr>
      <t>(6)</t>
    </r>
  </si>
  <si>
    <r>
      <rPr>
        <sz val="10"/>
        <color rgb="FF000000"/>
        <rFont val="Noto Sans CJK SC"/>
        <family val="2"/>
      </rPr>
      <t>二三维环境重建软件</t>
    </r>
    <r>
      <rPr>
        <sz val="10"/>
        <color rgb="FF000000"/>
        <rFont val="宋体"/>
        <family val="3"/>
        <charset val="134"/>
      </rPr>
      <t>1</t>
    </r>
    <r>
      <rPr>
        <sz val="10"/>
        <color rgb="FF000000"/>
        <rFont val="Noto Sans CJK SC"/>
        <family val="2"/>
      </rPr>
      <t>套，源码</t>
    </r>
    <r>
      <rPr>
        <sz val="10"/>
        <color rgb="FF000000"/>
        <rFont val="宋体"/>
        <family val="3"/>
        <charset val="134"/>
      </rPr>
      <t>1</t>
    </r>
    <r>
      <rPr>
        <sz val="10"/>
        <color rgb="FF000000"/>
        <rFont val="Noto Sans CJK SC"/>
        <family val="2"/>
      </rPr>
      <t>套，能够协助甲方完成实验室和实装部署</t>
    </r>
  </si>
  <si>
    <t>汇总</t>
  </si>
  <si>
    <r>
      <rPr>
        <sz val="10"/>
        <color rgb="FF000000"/>
        <rFont val="宋体"/>
        <family val="3"/>
        <charset val="134"/>
      </rPr>
      <t>V1.2</t>
    </r>
    <r>
      <rPr>
        <sz val="10"/>
        <color rgb="FF000000"/>
        <rFont val="Noto Sans CJK SC"/>
        <family val="2"/>
      </rPr>
      <t>条款总数</t>
    </r>
  </si>
  <si>
    <r>
      <rPr>
        <sz val="10"/>
        <color rgb="FF000000"/>
        <rFont val="Noto Sans CJK SC"/>
        <family val="2"/>
      </rPr>
      <t>已写入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（含引入件）</t>
    </r>
  </si>
  <si>
    <t>其中引入件条款</t>
  </si>
  <si>
    <t>设计说明章节尚未填写</t>
  </si>
  <si>
    <r>
      <rPr>
        <sz val="10"/>
        <color rgb="FF000000"/>
        <rFont val="Noto Sans CJK SC"/>
        <family val="2"/>
      </rPr>
      <t>验收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测试用例尚未填写</t>
    </r>
  </si>
  <si>
    <r>
      <rPr>
        <sz val="10"/>
        <color rgb="FF000000"/>
        <rFont val="Noto Sans CJK SC"/>
        <family val="2"/>
      </rPr>
      <t>注：“已写入</t>
    </r>
    <r>
      <rPr>
        <sz val="10"/>
        <color rgb="FF000000"/>
        <rFont val="宋体"/>
        <family val="3"/>
        <charset val="134"/>
      </rPr>
      <t>SRS”</t>
    </r>
    <r>
      <rPr>
        <sz val="10"/>
        <color rgb="FF000000"/>
        <rFont val="Noto Sans CJK SC"/>
        <family val="2"/>
      </rPr>
      <t>仅表示该条款已转化为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需求项，不代表软件已满足该条款；满足情况以验收结果为准。</t>
    </r>
  </si>
  <si>
    <r>
      <rPr>
        <b/>
        <sz val="14"/>
        <color rgb="FF000000"/>
        <rFont val="宋体"/>
        <family val="3"/>
        <charset val="134"/>
      </rPr>
      <t>CSCI</t>
    </r>
    <r>
      <rPr>
        <b/>
        <sz val="14"/>
        <color rgb="FF000000"/>
        <rFont val="Noto Sans CJK SC"/>
        <family val="2"/>
      </rPr>
      <t>能力需求到技术要求</t>
    </r>
    <r>
      <rPr>
        <b/>
        <sz val="14"/>
        <color rgb="FF000000"/>
        <rFont val="宋体"/>
        <family val="3"/>
        <charset val="134"/>
      </rPr>
      <t>V1.2</t>
    </r>
    <r>
      <rPr>
        <b/>
        <sz val="14"/>
        <color rgb="FF000000"/>
        <rFont val="Noto Sans CJK SC"/>
        <family val="2"/>
      </rPr>
      <t>条款的追踪（与</t>
    </r>
    <r>
      <rPr>
        <b/>
        <sz val="14"/>
        <color rgb="FF000000"/>
        <rFont val="宋体"/>
        <family val="3"/>
        <charset val="134"/>
      </rPr>
      <t>SRS</t>
    </r>
    <r>
      <rPr>
        <b/>
        <sz val="14"/>
        <color rgb="FF000000"/>
        <rFont val="Noto Sans CJK SC"/>
        <family val="2"/>
      </rPr>
      <t>第</t>
    </r>
    <r>
      <rPr>
        <b/>
        <sz val="14"/>
        <color rgb="FF000000"/>
        <rFont val="宋体"/>
        <family val="3"/>
        <charset val="134"/>
      </rPr>
      <t>5</t>
    </r>
    <r>
      <rPr>
        <b/>
        <sz val="14"/>
        <color rgb="FF000000"/>
        <rFont val="Noto Sans CJK SC"/>
        <family val="2"/>
      </rPr>
      <t>章表</t>
    </r>
    <r>
      <rPr>
        <b/>
        <sz val="14"/>
        <color rgb="FF000000"/>
        <rFont val="宋体"/>
        <family val="3"/>
        <charset val="134"/>
      </rPr>
      <t>22</t>
    </r>
    <r>
      <rPr>
        <b/>
        <sz val="14"/>
        <color rgb="FF000000"/>
        <rFont val="Noto Sans CJK SC"/>
        <family val="2"/>
      </rPr>
      <t>一致；</t>
    </r>
    <r>
      <rPr>
        <b/>
        <sz val="14"/>
        <color rgb="FF000000"/>
        <rFont val="宋体"/>
        <family val="3"/>
        <charset val="134"/>
      </rPr>
      <t>V1.1</t>
    </r>
    <r>
      <rPr>
        <b/>
        <sz val="14"/>
        <color rgb="FF000000"/>
        <rFont val="Noto Sans CJK SC"/>
        <family val="2"/>
      </rPr>
      <t>已删除</t>
    </r>
    <r>
      <rPr>
        <b/>
        <sz val="14"/>
        <color rgb="FF000000"/>
        <rFont val="宋体"/>
        <family val="3"/>
        <charset val="134"/>
      </rPr>
      <t>C-FUNC-04</t>
    </r>
    <r>
      <rPr>
        <b/>
        <sz val="14"/>
        <color rgb="FF000000"/>
        <rFont val="Noto Sans CJK SC"/>
        <family val="2"/>
      </rPr>
      <t>、</t>
    </r>
    <r>
      <rPr>
        <b/>
        <sz val="14"/>
        <color rgb="FF000000"/>
        <rFont val="宋体"/>
        <family val="3"/>
        <charset val="134"/>
      </rPr>
      <t>C-FUNC-07</t>
    </r>
    <r>
      <rPr>
        <b/>
        <sz val="14"/>
        <color rgb="FF000000"/>
        <rFont val="Noto Sans CJK SC"/>
        <family val="2"/>
      </rPr>
      <t>及其相关内容）</t>
    </r>
  </si>
  <si>
    <r>
      <rPr>
        <b/>
        <sz val="10"/>
        <color rgb="FF000000"/>
        <rFont val="宋体"/>
        <family val="3"/>
        <charset val="134"/>
      </rPr>
      <t>SRS</t>
    </r>
    <r>
      <rPr>
        <b/>
        <sz val="10"/>
        <color rgb="FF000000"/>
        <rFont val="Noto Sans CJK SC"/>
        <family val="2"/>
      </rPr>
      <t>需求标识</t>
    </r>
  </si>
  <si>
    <t>需求名称</t>
  </si>
  <si>
    <r>
      <rPr>
        <b/>
        <sz val="10"/>
        <color rgb="FF000000"/>
        <rFont val="Noto Sans CJK SC"/>
        <family val="2"/>
      </rPr>
      <t>对应</t>
    </r>
    <r>
      <rPr>
        <b/>
        <sz val="10"/>
        <color rgb="FF000000"/>
        <rFont val="宋体"/>
        <family val="3"/>
        <charset val="134"/>
      </rPr>
      <t>V1.2</t>
    </r>
    <r>
      <rPr>
        <b/>
        <sz val="10"/>
        <color rgb="FF000000"/>
        <rFont val="Noto Sans CJK SC"/>
        <family val="2"/>
      </rPr>
      <t>条款</t>
    </r>
  </si>
  <si>
    <t>追踪关系</t>
  </si>
  <si>
    <t>备注</t>
  </si>
  <si>
    <t>C-FUNC-01</t>
  </si>
  <si>
    <t>3.2.1</t>
  </si>
  <si>
    <t>多源遥感数据采集与预处理</t>
  </si>
  <si>
    <r>
      <rPr>
        <sz val="10"/>
        <color rgb="FF000000"/>
        <rFont val="宋体"/>
        <family val="3"/>
        <charset val="134"/>
      </rPr>
      <t>TR-CD-F1</t>
    </r>
    <r>
      <rPr>
        <sz val="10"/>
        <color rgb="FF000000"/>
        <rFont val="Noto Sans CJK SC"/>
        <family val="2"/>
      </rPr>
      <t>（支撑）</t>
    </r>
  </si>
  <si>
    <t>派生</t>
  </si>
  <si>
    <t>3.2.2</t>
  </si>
  <si>
    <t>图像匹配与配准</t>
  </si>
  <si>
    <r>
      <rPr>
        <sz val="10"/>
        <color rgb="FF000000"/>
        <rFont val="宋体"/>
        <family val="3"/>
        <charset val="134"/>
      </rPr>
      <t>TR-CD-F1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TR-CD-P3</t>
    </r>
  </si>
  <si>
    <t>实现</t>
  </si>
  <si>
    <t>3.2.3</t>
  </si>
  <si>
    <t>双任务变化检测推理</t>
  </si>
  <si>
    <r>
      <rPr>
        <sz val="10"/>
        <color rgb="FF000000"/>
        <rFont val="宋体"/>
        <family val="3"/>
        <charset val="134"/>
      </rPr>
      <t>TR-CD-F2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F5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TR-CD-P1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P3</t>
    </r>
  </si>
  <si>
    <t>C-FUNC-08</t>
  </si>
  <si>
    <t>环境变化检测功能</t>
  </si>
  <si>
    <r>
      <rPr>
        <sz val="10"/>
        <color rgb="FF000000"/>
        <rFont val="宋体"/>
        <family val="3"/>
        <charset val="134"/>
      </rPr>
      <t>TR-CD-F1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F6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TR-CD-P1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P4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TR-OT-1</t>
    </r>
  </si>
  <si>
    <r>
      <rPr>
        <sz val="10"/>
        <color rgb="FF000000"/>
        <rFont val="宋体"/>
        <family val="3"/>
        <charset val="134"/>
      </rPr>
      <t>V1.1</t>
    </r>
    <r>
      <rPr>
        <sz val="10"/>
        <color rgb="FF000000"/>
        <rFont val="Noto Sans CJK SC"/>
        <family val="2"/>
      </rPr>
      <t>新增编号；原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该节无需求标识</t>
    </r>
  </si>
  <si>
    <r>
      <rPr>
        <sz val="10"/>
        <color rgb="FF000000"/>
        <rFont val="Noto Sans CJK SC"/>
        <family val="2"/>
      </rPr>
      <t>二三维环境重建能力（接入与展示）；重建软件要求见</t>
    </r>
    <r>
      <rPr>
        <sz val="10"/>
        <color rgb="FF000000"/>
        <rFont val="宋体"/>
        <family val="3"/>
        <charset val="134"/>
      </rPr>
      <t>C-RC-*</t>
    </r>
  </si>
  <si>
    <r>
      <rPr>
        <sz val="10"/>
        <color rgb="FF000000"/>
        <rFont val="宋体"/>
        <family val="3"/>
        <charset val="134"/>
      </rPr>
      <t>TR-RC-F1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F9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TR-RC-P1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P2</t>
    </r>
  </si>
  <si>
    <r>
      <rPr>
        <sz val="10"/>
        <color rgb="FF000000"/>
        <rFont val="宋体"/>
        <family val="3"/>
        <charset val="134"/>
      </rPr>
      <t>F1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F8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P1</t>
    </r>
    <r>
      <rPr>
        <sz val="10"/>
        <color rgb="FF000000"/>
        <rFont val="Noto Sans CJK SC"/>
        <family val="2"/>
      </rPr>
      <t>～</t>
    </r>
    <r>
      <rPr>
        <sz val="10"/>
        <color rgb="FF000000"/>
        <rFont val="宋体"/>
        <family val="3"/>
        <charset val="134"/>
      </rPr>
      <t>P2</t>
    </r>
    <r>
      <rPr>
        <sz val="10"/>
        <color rgb="FF000000"/>
        <rFont val="Noto Sans CJK SC"/>
        <family val="2"/>
      </rPr>
      <t>由外部引入的重建软件满足；</t>
    </r>
    <r>
      <rPr>
        <sz val="10"/>
        <color rgb="FF000000"/>
        <rFont val="宋体"/>
        <family val="3"/>
        <charset val="134"/>
      </rPr>
      <t>F9</t>
    </r>
    <r>
      <rPr>
        <sz val="10"/>
        <color rgb="FF000000"/>
        <rFont val="Noto Sans CJK SC"/>
        <family val="2"/>
      </rPr>
      <t>由重建软件输出、本软件接入</t>
    </r>
  </si>
  <si>
    <t>3.2.6</t>
  </si>
  <si>
    <r>
      <rPr>
        <sz val="10"/>
        <color rgb="FF000000"/>
        <rFont val="Noto Sans CJK SC"/>
        <family val="2"/>
      </rPr>
      <t>遥感影像数据分发与</t>
    </r>
    <r>
      <rPr>
        <sz val="10"/>
        <color rgb="FF000000"/>
        <rFont val="宋体"/>
        <family val="3"/>
        <charset val="134"/>
      </rPr>
      <t>WMTS/WMS</t>
    </r>
    <r>
      <rPr>
        <sz val="10"/>
        <color rgb="FF000000"/>
        <rFont val="Noto Sans CJK SC"/>
        <family val="2"/>
      </rPr>
      <t>服务发布</t>
    </r>
  </si>
  <si>
    <r>
      <rPr>
        <sz val="10"/>
        <color rgb="FF000000"/>
        <rFont val="宋体"/>
        <family val="3"/>
        <charset val="134"/>
      </rPr>
      <t>TR-CD-F6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宋体"/>
        <family val="3"/>
        <charset val="134"/>
      </rPr>
      <t>TR-CD-P4</t>
    </r>
  </si>
  <si>
    <t>编号规则与说明</t>
  </si>
  <si>
    <t>文件基线</t>
  </si>
  <si>
    <r>
      <rPr>
        <sz val="10"/>
        <color rgb="FF000000"/>
        <rFont val="Noto Sans CJK SC"/>
        <family val="2"/>
      </rPr>
      <t>技术要求：《环境变化检测和二三维战场环境重建软件技术要求》</t>
    </r>
    <r>
      <rPr>
        <sz val="10"/>
        <color rgb="FF000000"/>
        <rFont val="宋体"/>
        <family val="3"/>
        <charset val="134"/>
      </rPr>
      <t>V1.2</t>
    </r>
    <r>
      <rPr>
        <sz val="10"/>
        <color rgb="FF000000"/>
        <rFont val="Noto Sans CJK SC"/>
        <family val="2"/>
      </rPr>
      <t>；需求规格：《软件需求规格说明》</t>
    </r>
    <r>
      <rPr>
        <sz val="10"/>
        <color rgb="FF000000"/>
        <rFont val="宋体"/>
        <family val="3"/>
        <charset val="134"/>
      </rPr>
      <t>V1.1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宋体"/>
        <family val="3"/>
        <charset val="134"/>
      </rPr>
      <t>2026.10.12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</si>
  <si>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宋体"/>
        <family val="3"/>
        <charset val="134"/>
      </rPr>
      <t>TR-CD-F/P</t>
    </r>
    <r>
      <rPr>
        <sz val="10"/>
        <color rgb="FF000000"/>
        <rFont val="Noto Sans CJK SC"/>
        <family val="2"/>
      </rPr>
      <t>：环境变化检测功能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性能指标；</t>
    </r>
    <r>
      <rPr>
        <sz val="10"/>
        <color rgb="FF000000"/>
        <rFont val="宋体"/>
        <family val="3"/>
        <charset val="134"/>
      </rPr>
      <t>TR-RC-F/P</t>
    </r>
    <r>
      <rPr>
        <sz val="10"/>
        <color rgb="FF000000"/>
        <rFont val="Noto Sans CJK SC"/>
        <family val="2"/>
      </rPr>
      <t>：二三维场景重建功能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性能指标；</t>
    </r>
    <r>
      <rPr>
        <sz val="10"/>
        <color rgb="FF000000"/>
        <rFont val="宋体"/>
        <family val="3"/>
        <charset val="134"/>
      </rPr>
      <t>TR-OT</t>
    </r>
    <r>
      <rPr>
        <sz val="10"/>
        <color rgb="FF000000"/>
        <rFont val="Noto Sans CJK SC"/>
        <family val="2"/>
      </rPr>
      <t>：其他要求；</t>
    </r>
    <r>
      <rPr>
        <sz val="10"/>
        <color rgb="FF000000"/>
        <rFont val="宋体"/>
        <family val="3"/>
        <charset val="134"/>
      </rPr>
      <t>TR-DL</t>
    </r>
    <r>
      <rPr>
        <sz val="10"/>
        <color rgb="FF000000"/>
        <rFont val="Noto Sans CJK SC"/>
        <family val="2"/>
      </rPr>
      <t>：交付内容。数字为</t>
    </r>
    <r>
      <rPr>
        <sz val="10"/>
        <color rgb="FF000000"/>
        <rFont val="宋体"/>
        <family val="3"/>
        <charset val="134"/>
      </rPr>
      <t>V1.2</t>
    </r>
    <r>
      <rPr>
        <sz val="10"/>
        <color rgb="FF000000"/>
        <rFont val="Noto Sans CJK SC"/>
        <family val="2"/>
      </rPr>
      <t>原文中该小节的序号</t>
    </r>
  </si>
  <si>
    <r>
      <rPr>
        <b/>
        <sz val="10"/>
        <color rgb="FF000000"/>
        <rFont val="宋体"/>
        <family val="3"/>
        <charset val="134"/>
      </rPr>
      <t>SRS</t>
    </r>
    <r>
      <rPr>
        <b/>
        <sz val="10"/>
        <color rgb="FF000000"/>
        <rFont val="Noto Sans CJK SC"/>
        <family val="2"/>
      </rPr>
      <t>需求项编号</t>
    </r>
  </si>
  <si>
    <r>
      <rPr>
        <sz val="10"/>
        <color rgb="FF000000"/>
        <rFont val="宋体"/>
        <family val="3"/>
        <charset val="134"/>
      </rPr>
      <t>C-CD-F/P/O</t>
    </r>
    <r>
      <rPr>
        <sz val="10"/>
        <color rgb="FF000000"/>
        <rFont val="Noto Sans CJK SC"/>
        <family val="2"/>
      </rPr>
      <t>：环境变化检测功能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性能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其他需求（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表</t>
    </r>
    <r>
      <rPr>
        <sz val="10"/>
        <color rgb="FF000000"/>
        <rFont val="宋体"/>
        <family val="3"/>
        <charset val="134"/>
      </rPr>
      <t>8</t>
    </r>
    <r>
      <rPr>
        <sz val="10"/>
        <color rgb="FF000000"/>
        <rFont val="Noto Sans CJK SC"/>
        <family val="2"/>
      </rPr>
      <t>）；</t>
    </r>
    <r>
      <rPr>
        <sz val="10"/>
        <color rgb="FF000000"/>
        <rFont val="宋体"/>
        <family val="3"/>
        <charset val="134"/>
      </rPr>
      <t>C-RC-F/P</t>
    </r>
    <r>
      <rPr>
        <sz val="10"/>
        <color rgb="FF000000"/>
        <rFont val="Noto Sans CJK SC"/>
        <family val="2"/>
      </rPr>
      <t>：二三维环境重建软件（外部引入）技术要求（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表</t>
    </r>
    <r>
      <rPr>
        <sz val="10"/>
        <color rgb="FF000000"/>
        <rFont val="宋体"/>
        <family val="3"/>
        <charset val="134"/>
      </rPr>
      <t>10</t>
    </r>
    <r>
      <rPr>
        <sz val="10"/>
        <color rgb="FF000000"/>
        <rFont val="Noto Sans CJK SC"/>
        <family val="2"/>
      </rPr>
      <t>）；</t>
    </r>
    <r>
      <rPr>
        <sz val="10"/>
        <color rgb="FF000000"/>
        <rFont val="宋体"/>
        <family val="3"/>
        <charset val="134"/>
      </rPr>
      <t>C-FUNC-xx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宋体"/>
        <family val="3"/>
        <charset val="134"/>
      </rPr>
      <t>CSCI</t>
    </r>
    <r>
      <rPr>
        <sz val="10"/>
        <color rgb="FF000000"/>
        <rFont val="Noto Sans CJK SC"/>
        <family val="2"/>
      </rPr>
      <t>能力需求（</t>
    </r>
    <r>
      <rPr>
        <sz val="10"/>
        <color rgb="FF000000"/>
        <rFont val="宋体"/>
        <family val="3"/>
        <charset val="134"/>
      </rPr>
      <t>SRS 3.2</t>
    </r>
    <r>
      <rPr>
        <sz val="10"/>
        <color rgb="FF000000"/>
        <rFont val="Noto Sans CJK SC"/>
        <family val="2"/>
      </rPr>
      <t>节）</t>
    </r>
  </si>
  <si>
    <r>
      <rPr>
        <sz val="10"/>
        <color rgb="FF000000"/>
        <rFont val="宋体"/>
        <family val="3"/>
        <charset val="134"/>
      </rPr>
      <t>A-</t>
    </r>
    <r>
      <rPr>
        <sz val="10"/>
        <color rgb="FF000000"/>
        <rFont val="Noto Sans CJK SC"/>
        <family val="2"/>
      </rPr>
      <t>分析；</t>
    </r>
    <r>
      <rPr>
        <sz val="10"/>
        <color rgb="FF000000"/>
        <rFont val="宋体"/>
        <family val="3"/>
        <charset val="134"/>
      </rPr>
      <t>D-</t>
    </r>
    <r>
      <rPr>
        <sz val="10"/>
        <color rgb="FF000000"/>
        <rFont val="Noto Sans CJK SC"/>
        <family val="2"/>
      </rPr>
      <t>演示；</t>
    </r>
    <r>
      <rPr>
        <sz val="10"/>
        <color rgb="FF000000"/>
        <rFont val="宋体"/>
        <family val="3"/>
        <charset val="134"/>
      </rPr>
      <t>Z-</t>
    </r>
    <r>
      <rPr>
        <sz val="10"/>
        <color rgb="FF000000"/>
        <rFont val="Noto Sans CJK SC"/>
        <family val="2"/>
      </rPr>
      <t>检查；</t>
    </r>
    <r>
      <rPr>
        <sz val="10"/>
        <color rgb="FF000000"/>
        <rFont val="宋体"/>
        <family val="3"/>
        <charset val="134"/>
      </rPr>
      <t>T-</t>
    </r>
    <r>
      <rPr>
        <sz val="10"/>
        <color rgb="FF000000"/>
        <rFont val="Noto Sans CJK SC"/>
        <family val="2"/>
      </rPr>
      <t>测试（与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第</t>
    </r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章一致）</t>
    </r>
  </si>
  <si>
    <r>
      <rPr>
        <sz val="10"/>
        <color rgb="FF000000"/>
        <rFont val="宋体"/>
        <family val="3"/>
        <charset val="134"/>
      </rPr>
      <t>“ChangeDetect</t>
    </r>
    <r>
      <rPr>
        <sz val="10"/>
        <color rgb="FF000000"/>
        <rFont val="Noto Sans CJK SC"/>
        <family val="2"/>
      </rPr>
      <t>自研”：由本软件实现；“重建软件（外部引入）”：由外部引入的二三维环境重建软件满足，本软件仅规定接口与技术要求</t>
    </r>
  </si>
  <si>
    <r>
      <rPr>
        <sz val="10"/>
        <color rgb="FF000000"/>
        <rFont val="Noto Sans CJK SC"/>
        <family val="2"/>
      </rPr>
      <t>已写入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：条款已转为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需求项（不代表已满足）；文档交付（待编写）：对应后续要编写的文档；待确认：见“待确认事项”列</t>
    </r>
  </si>
  <si>
    <t>待补列</t>
  </si>
  <si>
    <r>
      <rPr>
        <sz val="10"/>
        <color rgb="FF000000"/>
        <rFont val="Noto Sans CJK SC"/>
        <family val="2"/>
      </rPr>
      <t>“设计说明章节”“验收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测试用例”待相应文档编写后回填；</t>
    </r>
    <r>
      <rPr>
        <sz val="10"/>
        <color rgb="FF000000"/>
        <rFont val="宋体"/>
        <family val="3"/>
        <charset val="134"/>
      </rPr>
      <t>V1.2</t>
    </r>
    <r>
      <rPr>
        <sz val="10"/>
        <color rgb="FF000000"/>
        <rFont val="Noto Sans CJK SC"/>
        <family val="2"/>
      </rPr>
      <t>每一条条款必须能追到至少一个</t>
    </r>
    <r>
      <rPr>
        <sz val="10"/>
        <color rgb="FF000000"/>
        <rFont val="宋体"/>
        <family val="3"/>
        <charset val="134"/>
      </rPr>
      <t>SRS</t>
    </r>
    <r>
      <rPr>
        <sz val="10"/>
        <color rgb="FF000000"/>
        <rFont val="Noto Sans CJK SC"/>
        <family val="2"/>
      </rPr>
      <t>需求项和一个验收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测试用例</t>
    </r>
  </si>
  <si>
    <t>TR-DL-2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</si>
</sst>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000000"/>
      <name val="Noto Sans CJK SC"/>
      <family val="2"/>
    </font>
    <font>
      <b/>
      <sz val="14"/>
      <color rgb="FF000000"/>
      <name val="宋体"/>
      <family val="3"/>
      <charset val="134"/>
    </font>
    <font>
      <sz val="10"/>
      <color rgb="FF000000"/>
      <name val="Noto Sans CJK SC"/>
      <family val="2"/>
    </font>
    <font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1" sqref="K11"/>
    </sheetView>
  </sheetViews>
  <sheetFormatPr defaultColWidth="8.7109375" defaultRowHeight="15"/>
  <cols>
    <col min="1" max="1" width="5" customWidth="1"/>
    <col min="2" max="2" width="12" customWidth="1"/>
    <col min="3" max="3" width="22" customWidth="1"/>
    <col min="4" max="4" width="46" customWidth="1"/>
    <col min="5" max="5" width="11" customWidth="1"/>
    <col min="6" max="6" width="8" customWidth="1"/>
    <col min="7" max="7" width="17" customWidth="1"/>
    <col min="8" max="8" width="20" customWidth="1"/>
    <col min="9" max="9" width="9" customWidth="1"/>
    <col min="10" max="10" width="12" customWidth="1"/>
    <col min="11" max="11" width="14" customWidth="1"/>
    <col min="12" max="12" width="18" customWidth="1"/>
  </cols>
  <sheetData>
    <row r="1" spans="1:12" ht="18.75">
      <c r="A1" s="3" t="s">
        <v>0</v>
      </c>
    </row>
    <row r="2" spans="1:12">
      <c r="A2" s="4" t="s">
        <v>1</v>
      </c>
    </row>
    <row r="4" spans="1:12" ht="30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spans="1:12" ht="24.75">
      <c r="A5" s="7">
        <v>1</v>
      </c>
      <c r="B5" s="7" t="s">
        <v>14</v>
      </c>
      <c r="C5" s="8" t="s">
        <v>15</v>
      </c>
      <c r="D5" s="8" t="s">
        <v>16</v>
      </c>
      <c r="E5" s="7" t="s">
        <v>17</v>
      </c>
      <c r="F5" s="7" t="s">
        <v>18</v>
      </c>
      <c r="G5" s="9" t="s">
        <v>19</v>
      </c>
      <c r="H5" s="9" t="s">
        <v>20</v>
      </c>
      <c r="I5" s="7" t="s">
        <v>21</v>
      </c>
      <c r="J5" s="7"/>
      <c r="K5" s="7"/>
      <c r="L5" s="8" t="s">
        <v>22</v>
      </c>
    </row>
    <row r="6" spans="1:12" ht="24.75">
      <c r="A6" s="7">
        <v>2</v>
      </c>
      <c r="B6" s="7" t="s">
        <v>23</v>
      </c>
      <c r="C6" s="8" t="s">
        <v>24</v>
      </c>
      <c r="D6" s="8" t="s">
        <v>25</v>
      </c>
      <c r="E6" s="7" t="s">
        <v>26</v>
      </c>
      <c r="F6" s="7" t="s">
        <v>18</v>
      </c>
      <c r="G6" s="9" t="s">
        <v>27</v>
      </c>
      <c r="H6" s="9" t="s">
        <v>20</v>
      </c>
      <c r="I6" s="7" t="s">
        <v>21</v>
      </c>
      <c r="J6" s="7"/>
      <c r="K6" s="7"/>
      <c r="L6" s="8" t="s">
        <v>22</v>
      </c>
    </row>
    <row r="7" spans="1:12" ht="24.75">
      <c r="A7" s="7">
        <v>3</v>
      </c>
      <c r="B7" s="7" t="s">
        <v>28</v>
      </c>
      <c r="C7" s="8" t="s">
        <v>29</v>
      </c>
      <c r="D7" s="8" t="s">
        <v>30</v>
      </c>
      <c r="E7" s="7" t="s">
        <v>31</v>
      </c>
      <c r="F7" s="7" t="s">
        <v>18</v>
      </c>
      <c r="G7" s="9" t="s">
        <v>27</v>
      </c>
      <c r="H7" s="9" t="s">
        <v>20</v>
      </c>
      <c r="I7" s="7" t="s">
        <v>21</v>
      </c>
      <c r="J7" s="7"/>
      <c r="K7" s="7"/>
      <c r="L7" s="8" t="s">
        <v>22</v>
      </c>
    </row>
    <row r="8" spans="1:12" ht="24.75">
      <c r="A8" s="7">
        <v>4</v>
      </c>
      <c r="B8" s="7" t="s">
        <v>32</v>
      </c>
      <c r="C8" s="8" t="s">
        <v>33</v>
      </c>
      <c r="D8" s="8" t="s">
        <v>34</v>
      </c>
      <c r="E8" s="7" t="s">
        <v>35</v>
      </c>
      <c r="F8" s="7" t="s">
        <v>18</v>
      </c>
      <c r="G8" s="9" t="s">
        <v>27</v>
      </c>
      <c r="H8" s="9" t="s">
        <v>20</v>
      </c>
      <c r="I8" s="7" t="s">
        <v>21</v>
      </c>
      <c r="J8" s="7"/>
      <c r="K8" s="7"/>
      <c r="L8" s="8" t="s">
        <v>22</v>
      </c>
    </row>
    <row r="9" spans="1:12" ht="38.25">
      <c r="A9" s="7">
        <v>5</v>
      </c>
      <c r="B9" s="7" t="s">
        <v>36</v>
      </c>
      <c r="C9" s="8" t="s">
        <v>37</v>
      </c>
      <c r="D9" s="8" t="s">
        <v>38</v>
      </c>
      <c r="E9" s="7" t="s">
        <v>39</v>
      </c>
      <c r="F9" s="7" t="s">
        <v>18</v>
      </c>
      <c r="G9" s="9" t="s">
        <v>27</v>
      </c>
      <c r="H9" s="9" t="s">
        <v>20</v>
      </c>
      <c r="I9" s="7" t="s">
        <v>21</v>
      </c>
      <c r="J9" s="7"/>
      <c r="K9" s="7"/>
      <c r="L9" s="8" t="s">
        <v>22</v>
      </c>
    </row>
    <row r="10" spans="1:12" ht="25.5">
      <c r="A10" s="7">
        <v>6</v>
      </c>
      <c r="B10" s="7" t="s">
        <v>40</v>
      </c>
      <c r="C10" s="8" t="s">
        <v>41</v>
      </c>
      <c r="D10" s="8" t="s">
        <v>42</v>
      </c>
      <c r="E10" s="7" t="s">
        <v>43</v>
      </c>
      <c r="F10" s="7" t="s">
        <v>18</v>
      </c>
      <c r="G10" s="9" t="s">
        <v>44</v>
      </c>
      <c r="H10" s="9" t="s">
        <v>20</v>
      </c>
      <c r="I10" s="7" t="s">
        <v>45</v>
      </c>
      <c r="J10" s="7"/>
      <c r="K10" s="7"/>
      <c r="L10" s="8" t="s">
        <v>22</v>
      </c>
    </row>
    <row r="11" spans="1:12" ht="25.5">
      <c r="A11" s="7">
        <v>7</v>
      </c>
      <c r="B11" s="7" t="s">
        <v>46</v>
      </c>
      <c r="C11" s="8" t="s">
        <v>47</v>
      </c>
      <c r="D11" s="8" t="s">
        <v>48</v>
      </c>
      <c r="E11" s="7" t="s">
        <v>49</v>
      </c>
      <c r="F11" s="7" t="s">
        <v>18</v>
      </c>
      <c r="G11" s="9" t="s">
        <v>27</v>
      </c>
      <c r="H11" s="9" t="s">
        <v>20</v>
      </c>
      <c r="I11" s="7" t="s">
        <v>45</v>
      </c>
      <c r="J11" s="7"/>
      <c r="K11" s="7"/>
      <c r="L11" s="8" t="s">
        <v>22</v>
      </c>
    </row>
    <row r="12" spans="1:12" ht="25.5">
      <c r="A12" s="7">
        <v>8</v>
      </c>
      <c r="B12" s="7" t="s">
        <v>50</v>
      </c>
      <c r="C12" s="8" t="s">
        <v>51</v>
      </c>
      <c r="D12" s="8" t="s">
        <v>52</v>
      </c>
      <c r="E12" s="7" t="s">
        <v>53</v>
      </c>
      <c r="F12" s="7" t="s">
        <v>18</v>
      </c>
      <c r="G12" s="9" t="s">
        <v>27</v>
      </c>
      <c r="H12" s="9" t="s">
        <v>20</v>
      </c>
      <c r="I12" s="7" t="s">
        <v>21</v>
      </c>
      <c r="J12" s="7"/>
      <c r="K12" s="7"/>
      <c r="L12" s="8" t="s">
        <v>22</v>
      </c>
    </row>
    <row r="13" spans="1:12" ht="25.5">
      <c r="A13" s="7">
        <v>9</v>
      </c>
      <c r="B13" s="7" t="s">
        <v>54</v>
      </c>
      <c r="C13" s="8" t="s">
        <v>55</v>
      </c>
      <c r="D13" s="8" t="s">
        <v>56</v>
      </c>
      <c r="E13" s="7" t="s">
        <v>57</v>
      </c>
      <c r="F13" s="7" t="s">
        <v>18</v>
      </c>
      <c r="G13" s="9" t="s">
        <v>58</v>
      </c>
      <c r="H13" s="9" t="s">
        <v>20</v>
      </c>
      <c r="I13" s="7" t="s">
        <v>21</v>
      </c>
      <c r="J13" s="7"/>
      <c r="K13" s="7"/>
      <c r="L13" s="8" t="s">
        <v>22</v>
      </c>
    </row>
    <row r="14" spans="1:12" ht="24.75">
      <c r="A14" s="7">
        <v>10</v>
      </c>
      <c r="B14" s="7" t="s">
        <v>59</v>
      </c>
      <c r="C14" s="8" t="s">
        <v>60</v>
      </c>
      <c r="D14" s="8" t="s">
        <v>61</v>
      </c>
      <c r="E14" s="7" t="s">
        <v>62</v>
      </c>
      <c r="F14" s="7" t="s">
        <v>18</v>
      </c>
      <c r="G14" s="9" t="s">
        <v>44</v>
      </c>
      <c r="H14" s="9" t="s">
        <v>20</v>
      </c>
      <c r="I14" s="7" t="s">
        <v>21</v>
      </c>
      <c r="J14" s="7"/>
      <c r="K14" s="7"/>
      <c r="L14" s="8" t="s">
        <v>22</v>
      </c>
    </row>
    <row r="15" spans="1:12" ht="25.5">
      <c r="A15" s="7">
        <v>11</v>
      </c>
      <c r="B15" s="7" t="s">
        <v>63</v>
      </c>
      <c r="C15" s="8" t="s">
        <v>64</v>
      </c>
      <c r="D15" s="8" t="s">
        <v>65</v>
      </c>
      <c r="E15" s="7" t="s">
        <v>66</v>
      </c>
      <c r="F15" s="7" t="s">
        <v>67</v>
      </c>
      <c r="G15" s="9" t="s">
        <v>68</v>
      </c>
      <c r="H15" s="8" t="s">
        <v>69</v>
      </c>
      <c r="I15" s="7" t="s">
        <v>45</v>
      </c>
      <c r="J15" s="7"/>
      <c r="K15" s="7"/>
      <c r="L15" s="8" t="s">
        <v>70</v>
      </c>
    </row>
    <row r="16" spans="1:12" ht="25.5">
      <c r="A16" s="7">
        <v>12</v>
      </c>
      <c r="B16" s="7" t="s">
        <v>71</v>
      </c>
      <c r="C16" s="8" t="s">
        <v>72</v>
      </c>
      <c r="D16" s="8" t="s">
        <v>73</v>
      </c>
      <c r="E16" s="7" t="s">
        <v>74</v>
      </c>
      <c r="F16" s="7" t="s">
        <v>67</v>
      </c>
      <c r="G16" s="9" t="s">
        <v>68</v>
      </c>
      <c r="H16" s="8" t="s">
        <v>69</v>
      </c>
      <c r="I16" s="7" t="s">
        <v>45</v>
      </c>
      <c r="J16" s="7"/>
      <c r="K16" s="7"/>
      <c r="L16" s="8" t="s">
        <v>70</v>
      </c>
    </row>
    <row r="17" spans="1:12" ht="25.5">
      <c r="A17" s="7">
        <v>13</v>
      </c>
      <c r="B17" s="7" t="s">
        <v>75</v>
      </c>
      <c r="C17" s="8" t="s">
        <v>76</v>
      </c>
      <c r="D17" s="8" t="s">
        <v>77</v>
      </c>
      <c r="E17" s="7" t="s">
        <v>78</v>
      </c>
      <c r="F17" s="7" t="s">
        <v>67</v>
      </c>
      <c r="G17" s="9" t="s">
        <v>68</v>
      </c>
      <c r="H17" s="8" t="s">
        <v>69</v>
      </c>
      <c r="I17" s="7" t="s">
        <v>79</v>
      </c>
      <c r="J17" s="7"/>
      <c r="K17" s="7"/>
      <c r="L17" s="8" t="s">
        <v>70</v>
      </c>
    </row>
    <row r="18" spans="1:12" ht="25.5">
      <c r="A18" s="7">
        <v>14</v>
      </c>
      <c r="B18" s="7" t="s">
        <v>80</v>
      </c>
      <c r="C18" s="8" t="s">
        <v>81</v>
      </c>
      <c r="D18" s="8" t="s">
        <v>82</v>
      </c>
      <c r="E18" s="7" t="s">
        <v>83</v>
      </c>
      <c r="F18" s="7" t="s">
        <v>67</v>
      </c>
      <c r="G18" s="9" t="s">
        <v>68</v>
      </c>
      <c r="H18" s="8" t="s">
        <v>69</v>
      </c>
      <c r="I18" s="7" t="s">
        <v>84</v>
      </c>
      <c r="J18" s="7"/>
      <c r="K18" s="7"/>
      <c r="L18" s="8" t="s">
        <v>70</v>
      </c>
    </row>
    <row r="19" spans="1:12" ht="51">
      <c r="A19" s="7">
        <v>15</v>
      </c>
      <c r="B19" s="7" t="s">
        <v>85</v>
      </c>
      <c r="C19" s="8" t="s">
        <v>86</v>
      </c>
      <c r="D19" s="8" t="s">
        <v>87</v>
      </c>
      <c r="E19" s="7" t="s">
        <v>88</v>
      </c>
      <c r="F19" s="7" t="s">
        <v>67</v>
      </c>
      <c r="G19" s="9" t="s">
        <v>68</v>
      </c>
      <c r="H19" s="8" t="s">
        <v>69</v>
      </c>
      <c r="I19" s="7" t="s">
        <v>79</v>
      </c>
      <c r="J19" s="7"/>
      <c r="K19" s="7"/>
      <c r="L19" s="8" t="s">
        <v>70</v>
      </c>
    </row>
    <row r="20" spans="1:12" ht="25.5">
      <c r="A20" s="7">
        <v>16</v>
      </c>
      <c r="B20" s="7" t="s">
        <v>89</v>
      </c>
      <c r="C20" s="8" t="s">
        <v>90</v>
      </c>
      <c r="D20" s="8" t="s">
        <v>91</v>
      </c>
      <c r="E20" s="7" t="s">
        <v>92</v>
      </c>
      <c r="F20" s="7" t="s">
        <v>67</v>
      </c>
      <c r="G20" s="9" t="s">
        <v>68</v>
      </c>
      <c r="H20" s="8" t="s">
        <v>69</v>
      </c>
      <c r="I20" s="7" t="s">
        <v>45</v>
      </c>
      <c r="J20" s="7"/>
      <c r="K20" s="7"/>
      <c r="L20" s="8" t="s">
        <v>70</v>
      </c>
    </row>
    <row r="21" spans="1:12" ht="25.5">
      <c r="A21" s="7">
        <v>17</v>
      </c>
      <c r="B21" s="7" t="s">
        <v>93</v>
      </c>
      <c r="C21" s="8" t="s">
        <v>94</v>
      </c>
      <c r="D21" s="8" t="s">
        <v>95</v>
      </c>
      <c r="E21" s="7" t="s">
        <v>96</v>
      </c>
      <c r="F21" s="7" t="s">
        <v>67</v>
      </c>
      <c r="G21" s="9" t="s">
        <v>68</v>
      </c>
      <c r="H21" s="8" t="s">
        <v>69</v>
      </c>
      <c r="I21" s="7" t="s">
        <v>79</v>
      </c>
      <c r="J21" s="7"/>
      <c r="K21" s="7"/>
      <c r="L21" s="8" t="s">
        <v>70</v>
      </c>
    </row>
    <row r="22" spans="1:12" ht="25.5">
      <c r="A22" s="7">
        <v>18</v>
      </c>
      <c r="B22" s="7" t="s">
        <v>97</v>
      </c>
      <c r="C22" s="8" t="s">
        <v>98</v>
      </c>
      <c r="D22" s="8" t="s">
        <v>99</v>
      </c>
      <c r="E22" s="7" t="s">
        <v>100</v>
      </c>
      <c r="F22" s="7" t="s">
        <v>67</v>
      </c>
      <c r="G22" s="9" t="s">
        <v>68</v>
      </c>
      <c r="H22" s="8" t="s">
        <v>69</v>
      </c>
      <c r="I22" s="7" t="s">
        <v>79</v>
      </c>
      <c r="J22" s="7"/>
      <c r="K22" s="7"/>
      <c r="L22" s="8" t="s">
        <v>70</v>
      </c>
    </row>
    <row r="23" spans="1:12" ht="38.25">
      <c r="A23" s="7">
        <v>19</v>
      </c>
      <c r="B23" s="7" t="s">
        <v>101</v>
      </c>
      <c r="C23" s="8" t="s">
        <v>102</v>
      </c>
      <c r="D23" s="8" t="s">
        <v>103</v>
      </c>
      <c r="E23" s="7" t="s">
        <v>104</v>
      </c>
      <c r="F23" s="7" t="s">
        <v>67</v>
      </c>
      <c r="G23" s="9" t="s">
        <v>105</v>
      </c>
      <c r="H23" s="8" t="s">
        <v>106</v>
      </c>
      <c r="I23" s="7" t="s">
        <v>45</v>
      </c>
      <c r="J23" s="7"/>
      <c r="K23" s="7"/>
      <c r="L23" s="8" t="s">
        <v>22</v>
      </c>
    </row>
    <row r="24" spans="1:12" ht="25.5">
      <c r="A24" s="7">
        <v>20</v>
      </c>
      <c r="B24" s="7" t="s">
        <v>107</v>
      </c>
      <c r="C24" s="8" t="s">
        <v>108</v>
      </c>
      <c r="D24" s="9" t="s">
        <v>109</v>
      </c>
      <c r="E24" s="7" t="s">
        <v>110</v>
      </c>
      <c r="F24" s="7" t="s">
        <v>67</v>
      </c>
      <c r="G24" s="9" t="s">
        <v>68</v>
      </c>
      <c r="H24" s="8" t="s">
        <v>69</v>
      </c>
      <c r="I24" s="7" t="s">
        <v>21</v>
      </c>
      <c r="J24" s="7"/>
      <c r="K24" s="7"/>
      <c r="L24" s="8" t="s">
        <v>70</v>
      </c>
    </row>
    <row r="25" spans="1:12" ht="38.25">
      <c r="A25" s="7">
        <v>21</v>
      </c>
      <c r="B25" s="7" t="s">
        <v>111</v>
      </c>
      <c r="C25" s="8" t="s">
        <v>112</v>
      </c>
      <c r="D25" s="8" t="s">
        <v>113</v>
      </c>
      <c r="E25" s="7" t="s">
        <v>114</v>
      </c>
      <c r="F25" s="7" t="s">
        <v>67</v>
      </c>
      <c r="G25" s="9" t="s">
        <v>68</v>
      </c>
      <c r="H25" s="8" t="s">
        <v>69</v>
      </c>
      <c r="I25" s="7" t="s">
        <v>45</v>
      </c>
      <c r="J25" s="7"/>
      <c r="K25" s="7"/>
      <c r="L25" s="8" t="s">
        <v>70</v>
      </c>
    </row>
    <row r="26" spans="1:12" ht="25.5">
      <c r="A26" s="7">
        <v>22</v>
      </c>
      <c r="B26" s="7" t="s">
        <v>115</v>
      </c>
      <c r="C26" s="8" t="s">
        <v>116</v>
      </c>
      <c r="D26" s="8" t="s">
        <v>117</v>
      </c>
      <c r="E26" s="7" t="s">
        <v>118</v>
      </c>
      <c r="F26" s="7" t="s">
        <v>18</v>
      </c>
      <c r="G26" s="9" t="s">
        <v>68</v>
      </c>
      <c r="H26" s="9" t="s">
        <v>20</v>
      </c>
      <c r="I26" s="7" t="s">
        <v>119</v>
      </c>
      <c r="J26" s="7"/>
      <c r="K26" s="7"/>
      <c r="L26" s="8" t="s">
        <v>120</v>
      </c>
    </row>
    <row r="27" spans="1:12" ht="25.5">
      <c r="A27" s="7">
        <v>23</v>
      </c>
      <c r="B27" s="7" t="s">
        <v>121</v>
      </c>
      <c r="C27" s="8" t="s">
        <v>122</v>
      </c>
      <c r="D27" s="8" t="s">
        <v>123</v>
      </c>
      <c r="E27" s="7" t="s">
        <v>68</v>
      </c>
      <c r="F27" s="7" t="s">
        <v>124</v>
      </c>
      <c r="G27" s="9" t="s">
        <v>68</v>
      </c>
      <c r="H27" s="8" t="s">
        <v>125</v>
      </c>
      <c r="I27" s="7" t="s">
        <v>126</v>
      </c>
      <c r="J27" s="7"/>
      <c r="K27" s="7"/>
      <c r="L27" s="8" t="s">
        <v>127</v>
      </c>
    </row>
    <row r="28" spans="1:12" ht="25.5">
      <c r="A28" s="7">
        <v>24</v>
      </c>
      <c r="B28" s="7" t="s">
        <v>189</v>
      </c>
      <c r="C28" s="8" t="s">
        <v>128</v>
      </c>
      <c r="D28" s="8" t="s">
        <v>129</v>
      </c>
      <c r="E28" s="7" t="s">
        <v>68</v>
      </c>
      <c r="F28" s="7" t="s">
        <v>124</v>
      </c>
      <c r="G28" s="9" t="s">
        <v>68</v>
      </c>
      <c r="H28" s="8" t="s">
        <v>125</v>
      </c>
      <c r="I28" s="7" t="s">
        <v>126</v>
      </c>
      <c r="J28" s="7"/>
      <c r="K28" s="7"/>
      <c r="L28" s="8" t="s">
        <v>127</v>
      </c>
    </row>
    <row r="29" spans="1:12" ht="25.5">
      <c r="A29" s="7">
        <v>25</v>
      </c>
      <c r="B29" s="7" t="s">
        <v>130</v>
      </c>
      <c r="C29" s="8" t="s">
        <v>131</v>
      </c>
      <c r="D29" s="8" t="s">
        <v>132</v>
      </c>
      <c r="E29" s="7" t="s">
        <v>68</v>
      </c>
      <c r="F29" s="7" t="s">
        <v>124</v>
      </c>
      <c r="G29" s="9" t="s">
        <v>68</v>
      </c>
      <c r="H29" s="8" t="s">
        <v>125</v>
      </c>
      <c r="I29" s="7" t="s">
        <v>126</v>
      </c>
      <c r="J29" s="7"/>
      <c r="K29" s="7"/>
      <c r="L29" s="8" t="s">
        <v>127</v>
      </c>
    </row>
    <row r="30" spans="1:12" ht="25.5">
      <c r="A30" s="7">
        <v>26</v>
      </c>
      <c r="B30" s="7" t="s">
        <v>133</v>
      </c>
      <c r="C30" s="8" t="s">
        <v>134</v>
      </c>
      <c r="D30" s="8" t="s">
        <v>135</v>
      </c>
      <c r="E30" s="7" t="s">
        <v>68</v>
      </c>
      <c r="F30" s="7" t="s">
        <v>124</v>
      </c>
      <c r="G30" s="9" t="s">
        <v>68</v>
      </c>
      <c r="H30" s="8" t="s">
        <v>125</v>
      </c>
      <c r="I30" s="7" t="s">
        <v>126</v>
      </c>
      <c r="J30" s="7"/>
      <c r="K30" s="7"/>
      <c r="L30" s="8" t="s">
        <v>127</v>
      </c>
    </row>
    <row r="31" spans="1:12" ht="25.5">
      <c r="A31" s="7">
        <v>27</v>
      </c>
      <c r="B31" s="7" t="s">
        <v>136</v>
      </c>
      <c r="C31" s="8" t="s">
        <v>137</v>
      </c>
      <c r="D31" s="8" t="s">
        <v>138</v>
      </c>
      <c r="E31" s="7" t="s">
        <v>68</v>
      </c>
      <c r="F31" s="7" t="s">
        <v>124</v>
      </c>
      <c r="G31" s="9" t="s">
        <v>68</v>
      </c>
      <c r="H31" s="9" t="s">
        <v>20</v>
      </c>
      <c r="I31" s="7" t="s">
        <v>126</v>
      </c>
      <c r="J31" s="7"/>
      <c r="K31" s="7"/>
      <c r="L31" s="8" t="s">
        <v>139</v>
      </c>
    </row>
    <row r="32" spans="1:12" ht="25.5">
      <c r="A32" s="7">
        <v>28</v>
      </c>
      <c r="B32" s="7" t="s">
        <v>140</v>
      </c>
      <c r="C32" s="8" t="s">
        <v>141</v>
      </c>
      <c r="D32" s="8" t="s">
        <v>142</v>
      </c>
      <c r="E32" s="7" t="s">
        <v>68</v>
      </c>
      <c r="F32" s="7" t="s">
        <v>124</v>
      </c>
      <c r="G32" s="9" t="s">
        <v>68</v>
      </c>
      <c r="H32" s="8" t="s">
        <v>69</v>
      </c>
      <c r="I32" s="7" t="s">
        <v>126</v>
      </c>
      <c r="J32" s="7"/>
      <c r="K32" s="7"/>
      <c r="L32" s="8" t="s">
        <v>139</v>
      </c>
    </row>
    <row r="34" spans="2:5">
      <c r="B34" s="10" t="s">
        <v>143</v>
      </c>
    </row>
    <row r="35" spans="2:5" ht="15" customHeight="1">
      <c r="B35" s="2" t="s">
        <v>144</v>
      </c>
      <c r="C35" s="2"/>
      <c r="D35" s="2"/>
      <c r="E35" s="7">
        <f>COUNTA(B5:B32)</f>
        <v>28</v>
      </c>
    </row>
    <row r="36" spans="2:5" ht="15" customHeight="1">
      <c r="B36" s="1" t="s">
        <v>145</v>
      </c>
      <c r="C36" s="1"/>
      <c r="D36" s="1"/>
      <c r="E36" s="7">
        <f>COUNTIF(L5:L32,"已写入SRS*")</f>
        <v>22</v>
      </c>
    </row>
    <row r="37" spans="2:5" ht="15" customHeight="1">
      <c r="B37" s="1" t="s">
        <v>146</v>
      </c>
      <c r="C37" s="1"/>
      <c r="D37" s="1"/>
      <c r="E37" s="7">
        <f>COUNTIF(L5:L32,"*引入件*")</f>
        <v>10</v>
      </c>
    </row>
    <row r="38" spans="2:5" ht="15" customHeight="1">
      <c r="B38" s="1" t="s">
        <v>127</v>
      </c>
      <c r="C38" s="1"/>
      <c r="D38" s="1"/>
      <c r="E38" s="7">
        <f>COUNTIF(L5:L32,"文档交付*")</f>
        <v>4</v>
      </c>
    </row>
    <row r="39" spans="2:5" ht="15" customHeight="1">
      <c r="B39" s="1" t="s">
        <v>139</v>
      </c>
      <c r="C39" s="1"/>
      <c r="D39" s="1"/>
      <c r="E39" s="7">
        <f>COUNTIF(L5:L32,"待确认")</f>
        <v>2</v>
      </c>
    </row>
    <row r="40" spans="2:5" ht="15" customHeight="1">
      <c r="B40" s="1" t="s">
        <v>147</v>
      </c>
      <c r="C40" s="1"/>
      <c r="D40" s="1"/>
      <c r="E40" s="7">
        <f>COUNTBLANK(J5:J32)</f>
        <v>28</v>
      </c>
    </row>
    <row r="41" spans="2:5" ht="15" customHeight="1">
      <c r="B41" s="1" t="s">
        <v>148</v>
      </c>
      <c r="C41" s="1"/>
      <c r="D41" s="1"/>
      <c r="E41" s="7">
        <f>COUNTBLANK(K5:K32)</f>
        <v>28</v>
      </c>
    </row>
    <row r="42" spans="2:5">
      <c r="B42" s="4" t="s">
        <v>149</v>
      </c>
    </row>
  </sheetData>
  <autoFilter ref="A4:L32" xr:uid="{00000000-0009-0000-0000-000000000000}"/>
  <mergeCells count="7">
    <mergeCell ref="B40:D40"/>
    <mergeCell ref="B41:D41"/>
    <mergeCell ref="B35:D35"/>
    <mergeCell ref="B36:D36"/>
    <mergeCell ref="B37:D37"/>
    <mergeCell ref="B38:D38"/>
    <mergeCell ref="B39:D39"/>
  </mergeCells>
  <phoneticPr fontId="7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5" customWidth="1"/>
    <col min="2" max="2" width="13" customWidth="1"/>
    <col min="3" max="3" width="9" customWidth="1"/>
    <col min="4" max="4" width="40" customWidth="1"/>
    <col min="5" max="5" width="38" customWidth="1"/>
    <col min="6" max="6" width="10" customWidth="1"/>
    <col min="7" max="7" width="14" customWidth="1"/>
    <col min="8" max="8" width="52" customWidth="1"/>
  </cols>
  <sheetData>
    <row r="1" spans="1:8" ht="18.75">
      <c r="A1" s="11" t="s">
        <v>150</v>
      </c>
    </row>
    <row r="3" spans="1:8" ht="30" customHeight="1">
      <c r="A3" s="5" t="s">
        <v>2</v>
      </c>
      <c r="B3" s="6" t="s">
        <v>151</v>
      </c>
      <c r="C3" s="6" t="s">
        <v>7</v>
      </c>
      <c r="D3" s="5" t="s">
        <v>152</v>
      </c>
      <c r="E3" s="5" t="s">
        <v>153</v>
      </c>
      <c r="F3" s="5" t="s">
        <v>154</v>
      </c>
      <c r="G3" s="5" t="s">
        <v>11</v>
      </c>
      <c r="H3" s="5" t="s">
        <v>155</v>
      </c>
    </row>
    <row r="4" spans="1:8">
      <c r="A4" s="7">
        <v>1</v>
      </c>
      <c r="B4" s="7" t="s">
        <v>156</v>
      </c>
      <c r="C4" s="7" t="s">
        <v>157</v>
      </c>
      <c r="D4" s="8" t="s">
        <v>158</v>
      </c>
      <c r="E4" s="9" t="s">
        <v>159</v>
      </c>
      <c r="F4" s="12" t="s">
        <v>160</v>
      </c>
      <c r="G4" s="8"/>
      <c r="H4" s="8"/>
    </row>
    <row r="5" spans="1:8">
      <c r="A5" s="12">
        <v>2</v>
      </c>
      <c r="B5" s="7" t="s">
        <v>19</v>
      </c>
      <c r="C5" s="7" t="s">
        <v>161</v>
      </c>
      <c r="D5" s="8" t="s">
        <v>162</v>
      </c>
      <c r="E5" s="9" t="s">
        <v>163</v>
      </c>
      <c r="F5" s="12" t="s">
        <v>164</v>
      </c>
      <c r="G5" s="8"/>
      <c r="H5" s="8"/>
    </row>
    <row r="6" spans="1:8">
      <c r="A6" s="12">
        <v>3</v>
      </c>
      <c r="B6" s="7" t="s">
        <v>27</v>
      </c>
      <c r="C6" s="7" t="s">
        <v>165</v>
      </c>
      <c r="D6" s="8" t="s">
        <v>166</v>
      </c>
      <c r="E6" s="9" t="s">
        <v>167</v>
      </c>
      <c r="F6" s="12" t="s">
        <v>164</v>
      </c>
      <c r="G6" s="8"/>
      <c r="H6" s="8"/>
    </row>
    <row r="7" spans="1:8">
      <c r="A7" s="12">
        <v>4</v>
      </c>
      <c r="B7" s="7" t="s">
        <v>168</v>
      </c>
      <c r="C7" s="7" t="s">
        <v>18</v>
      </c>
      <c r="D7" s="8" t="s">
        <v>169</v>
      </c>
      <c r="E7" s="9" t="s">
        <v>170</v>
      </c>
      <c r="F7" s="12" t="s">
        <v>164</v>
      </c>
      <c r="G7" s="8"/>
      <c r="H7" s="9" t="s">
        <v>171</v>
      </c>
    </row>
    <row r="8" spans="1:8" ht="25.5">
      <c r="A8" s="12">
        <v>5</v>
      </c>
      <c r="B8" s="7" t="s">
        <v>105</v>
      </c>
      <c r="C8" s="7" t="s">
        <v>67</v>
      </c>
      <c r="D8" s="8" t="s">
        <v>172</v>
      </c>
      <c r="E8" s="9" t="s">
        <v>173</v>
      </c>
      <c r="F8" s="12" t="s">
        <v>164</v>
      </c>
      <c r="G8" s="8"/>
      <c r="H8" s="9" t="s">
        <v>174</v>
      </c>
    </row>
    <row r="9" spans="1:8">
      <c r="A9" s="12">
        <v>6</v>
      </c>
      <c r="B9" s="7" t="s">
        <v>44</v>
      </c>
      <c r="C9" s="7" t="s">
        <v>175</v>
      </c>
      <c r="D9" s="8" t="s">
        <v>176</v>
      </c>
      <c r="E9" s="9" t="s">
        <v>177</v>
      </c>
      <c r="F9" s="12" t="s">
        <v>164</v>
      </c>
      <c r="G9" s="8"/>
      <c r="H9" s="8"/>
    </row>
  </sheetData>
  <phoneticPr fontId="7" type="noConversion"/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defaultColWidth="8.7109375" defaultRowHeight="15"/>
  <cols>
    <col min="1" max="1" width="18" customWidth="1"/>
    <col min="2" max="2" width="110" customWidth="1"/>
  </cols>
  <sheetData>
    <row r="1" spans="1:2" ht="18">
      <c r="A1" s="3" t="s">
        <v>178</v>
      </c>
    </row>
    <row r="3" spans="1:2" ht="25.5">
      <c r="A3" s="5" t="s">
        <v>179</v>
      </c>
      <c r="B3" s="8" t="s">
        <v>180</v>
      </c>
    </row>
    <row r="4" spans="1:2" ht="25.5">
      <c r="A4" s="6" t="s">
        <v>3</v>
      </c>
      <c r="B4" s="9" t="s">
        <v>181</v>
      </c>
    </row>
    <row r="5" spans="1:2" ht="25.5">
      <c r="A5" s="6" t="s">
        <v>182</v>
      </c>
      <c r="B5" s="9" t="s">
        <v>183</v>
      </c>
    </row>
    <row r="6" spans="1:2">
      <c r="A6" s="5" t="s">
        <v>10</v>
      </c>
      <c r="B6" s="9" t="s">
        <v>184</v>
      </c>
    </row>
    <row r="7" spans="1:2" ht="25.5">
      <c r="A7" s="5" t="s">
        <v>9</v>
      </c>
      <c r="B7" s="9" t="s">
        <v>185</v>
      </c>
    </row>
    <row r="8" spans="1:2" ht="25.5">
      <c r="A8" s="5" t="s">
        <v>13</v>
      </c>
      <c r="B8" s="8" t="s">
        <v>186</v>
      </c>
    </row>
    <row r="9" spans="1:2">
      <c r="A9" s="5" t="s">
        <v>187</v>
      </c>
      <c r="B9" s="8" t="s">
        <v>188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追踪矩阵</vt:lpstr>
      <vt:lpstr>CSCI需求→V1.2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2026-10-12T07:14:17Z</dcterms:created>
  <dcterms:modified xsi:type="dcterms:W3CDTF">2026-10-12T08:45:07Z</dcterms:modified>
  <dc:language>en-US</dc:language>
</cp:coreProperties>
</file>